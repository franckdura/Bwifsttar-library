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5450" windowHeight="4770" tabRatio="604" activeTab="5"/>
  </bookViews>
  <sheets>
    <sheet name="Senlis_PLtraf" sheetId="2" r:id="rId1"/>
    <sheet name="Senlis_PLcalibration" sheetId="3" r:id="rId2"/>
    <sheet name="Accuracy_trafic" sheetId="1" r:id="rId3"/>
    <sheet name="Accuracy_calibration" sheetId="97" r:id="rId4"/>
    <sheet name="Repartition des erreurs" sheetId="98" r:id="rId5"/>
    <sheet name="Precision_trafic" sheetId="99" r:id="rId6"/>
  </sheets>
  <definedNames>
    <definedName name="anscount" hidden="1">1</definedName>
    <definedName name="solver_adj" localSheetId="3" hidden="1">Accuracy_calibration!$I$9:$I$12</definedName>
    <definedName name="solver_adj" localSheetId="2" hidden="1">Accuracy_trafic!$I$9:$I$12</definedName>
    <definedName name="solver_cvg" localSheetId="3" hidden="1">0.001</definedName>
    <definedName name="solver_cvg" localSheetId="2" hidden="1">0.001</definedName>
    <definedName name="solver_drv" localSheetId="3" hidden="1">1</definedName>
    <definedName name="solver_drv" localSheetId="2" hidden="1">1</definedName>
    <definedName name="solver_est" localSheetId="3" hidden="1">1</definedName>
    <definedName name="solver_est" localSheetId="2" hidden="1">1</definedName>
    <definedName name="solver_itr" localSheetId="3" hidden="1">100</definedName>
    <definedName name="solver_itr" localSheetId="2" hidden="1">100</definedName>
    <definedName name="solver_lhs1" localSheetId="3" hidden="1">Accuracy_calibration!$L$9:$L$12</definedName>
    <definedName name="solver_lhs1" localSheetId="2" hidden="1">Accuracy_trafic!$L$9:$L$12</definedName>
    <definedName name="solver_lin" localSheetId="3" hidden="1">2</definedName>
    <definedName name="solver_lin" localSheetId="2" hidden="1">2</definedName>
    <definedName name="solver_neg" localSheetId="3" hidden="1">2</definedName>
    <definedName name="solver_neg" localSheetId="2" hidden="1">2</definedName>
    <definedName name="solver_num" localSheetId="3" hidden="1">1</definedName>
    <definedName name="solver_num" localSheetId="2" hidden="1">1</definedName>
    <definedName name="solver_nwt" localSheetId="3" hidden="1">1</definedName>
    <definedName name="solver_nwt" localSheetId="2" hidden="1">1</definedName>
    <definedName name="solver_opt" localSheetId="3" hidden="1">Accuracy_calibration!$I$9</definedName>
    <definedName name="solver_opt" localSheetId="2" hidden="1">Accuracy_trafic!$I$9</definedName>
    <definedName name="solver_pre" localSheetId="3" hidden="1">0.000001</definedName>
    <definedName name="solver_pre" localSheetId="2" hidden="1">0.000001</definedName>
    <definedName name="solver_rel1" localSheetId="3" hidden="1">2</definedName>
    <definedName name="solver_rel1" localSheetId="2" hidden="1">2</definedName>
    <definedName name="solver_rhs1" localSheetId="3" hidden="1">Accuracy_calibration!$F$9:$F$12</definedName>
    <definedName name="solver_rhs1" localSheetId="2" hidden="1">Accuracy_trafic!$F$9:$F$12</definedName>
    <definedName name="solver_scl" localSheetId="3" hidden="1">2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tim" localSheetId="3" hidden="1">100</definedName>
    <definedName name="solver_tim" localSheetId="2" hidden="1">100</definedName>
    <definedName name="solver_tol" localSheetId="3" hidden="1">0.05</definedName>
    <definedName name="solver_tol" localSheetId="2" hidden="1">0.05</definedName>
    <definedName name="solver_typ" localSheetId="3" hidden="1">2</definedName>
    <definedName name="solver_typ" localSheetId="2" hidden="1">2</definedName>
    <definedName name="solver_val" localSheetId="3" hidden="1">0</definedName>
    <definedName name="solver_val" localSheetId="2" hidden="1">0</definedName>
    <definedName name="TolerancePoids_E">20%</definedName>
    <definedName name="TolerancePoids_ESG">25%</definedName>
    <definedName name="TolerancePoids_GE">18%</definedName>
    <definedName name="TolerancePoids_PT">15%</definedName>
  </definedNames>
  <calcPr calcId="125725"/>
</workbook>
</file>

<file path=xl/calcChain.xml><?xml version="1.0" encoding="utf-8"?>
<calcChain xmlns="http://schemas.openxmlformats.org/spreadsheetml/2006/main">
  <c r="K12" i="99"/>
  <c r="J12"/>
  <c r="H12"/>
  <c r="M12" s="1"/>
  <c r="G12"/>
  <c r="E12"/>
  <c r="D12"/>
  <c r="L12" s="1"/>
  <c r="B12"/>
  <c r="F12" s="1"/>
  <c r="K11"/>
  <c r="G11" s="1"/>
  <c r="J11"/>
  <c r="F11"/>
  <c r="E11"/>
  <c r="L11" s="1"/>
  <c r="D11"/>
  <c r="B11"/>
  <c r="J10"/>
  <c r="K10" s="1"/>
  <c r="E10"/>
  <c r="L10" s="1"/>
  <c r="D10"/>
  <c r="B10"/>
  <c r="F10" s="1"/>
  <c r="K9"/>
  <c r="O12" s="1"/>
  <c r="O10" s="1"/>
  <c r="J9"/>
  <c r="G9"/>
  <c r="E9"/>
  <c r="D9"/>
  <c r="B9"/>
  <c r="L9" s="1"/>
  <c r="H7"/>
  <c r="D53" i="98"/>
  <c r="E53"/>
  <c r="F53"/>
  <c r="G53"/>
  <c r="H53"/>
  <c r="I53"/>
  <c r="J53"/>
  <c r="K53"/>
  <c r="L53"/>
  <c r="D54"/>
  <c r="E54"/>
  <c r="F54"/>
  <c r="G54"/>
  <c r="H54"/>
  <c r="I54"/>
  <c r="J54"/>
  <c r="K54"/>
  <c r="L54"/>
  <c r="D55"/>
  <c r="E55"/>
  <c r="F55"/>
  <c r="G55"/>
  <c r="H55"/>
  <c r="I55"/>
  <c r="J55"/>
  <c r="K55"/>
  <c r="L55"/>
  <c r="D56"/>
  <c r="E56"/>
  <c r="F56"/>
  <c r="G56"/>
  <c r="H56"/>
  <c r="I56"/>
  <c r="J56"/>
  <c r="K56"/>
  <c r="L56"/>
  <c r="D57"/>
  <c r="E57"/>
  <c r="F57"/>
  <c r="G57"/>
  <c r="H57"/>
  <c r="I57"/>
  <c r="J57"/>
  <c r="K57"/>
  <c r="L57"/>
  <c r="D58"/>
  <c r="E58"/>
  <c r="F58"/>
  <c r="G58"/>
  <c r="H58"/>
  <c r="I58"/>
  <c r="J58"/>
  <c r="K58"/>
  <c r="L58"/>
  <c r="D59"/>
  <c r="E59"/>
  <c r="F59"/>
  <c r="G59"/>
  <c r="H59"/>
  <c r="I59"/>
  <c r="J59"/>
  <c r="K59"/>
  <c r="L59"/>
  <c r="D60"/>
  <c r="E60"/>
  <c r="F60"/>
  <c r="G60"/>
  <c r="H60"/>
  <c r="I60"/>
  <c r="J60"/>
  <c r="K60"/>
  <c r="L60"/>
  <c r="E52"/>
  <c r="F52"/>
  <c r="G52"/>
  <c r="H52"/>
  <c r="I52"/>
  <c r="J52"/>
  <c r="K52"/>
  <c r="L52"/>
  <c r="D52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R25" i="2"/>
  <c r="AJ25" s="1"/>
  <c r="Y25"/>
  <c r="Z25"/>
  <c r="AH25"/>
  <c r="AI25"/>
  <c r="AR25" s="1"/>
  <c r="AK25"/>
  <c r="AL25"/>
  <c r="AM25"/>
  <c r="AN25"/>
  <c r="AO25"/>
  <c r="AP25"/>
  <c r="AQ25"/>
  <c r="K44" i="98"/>
  <c r="K45"/>
  <c r="K46"/>
  <c r="K47"/>
  <c r="K48"/>
  <c r="K49"/>
  <c r="K43"/>
  <c r="I44"/>
  <c r="I45"/>
  <c r="I46"/>
  <c r="I47"/>
  <c r="I48"/>
  <c r="I43"/>
  <c r="H44"/>
  <c r="H45"/>
  <c r="H46"/>
  <c r="H43"/>
  <c r="G44"/>
  <c r="G45"/>
  <c r="G46"/>
  <c r="G47"/>
  <c r="G48"/>
  <c r="G49"/>
  <c r="G43"/>
  <c r="D49"/>
  <c r="E49"/>
  <c r="D48"/>
  <c r="E48"/>
  <c r="D47"/>
  <c r="E47"/>
  <c r="F50"/>
  <c r="F51"/>
  <c r="F46"/>
  <c r="F47"/>
  <c r="F48"/>
  <c r="F49"/>
  <c r="F45"/>
  <c r="F44"/>
  <c r="F43"/>
  <c r="L43"/>
  <c r="D26"/>
  <c r="D43" s="1"/>
  <c r="E26"/>
  <c r="E44" s="1"/>
  <c r="F26"/>
  <c r="G26"/>
  <c r="H26"/>
  <c r="I26"/>
  <c r="K26"/>
  <c r="D27"/>
  <c r="E27"/>
  <c r="F27"/>
  <c r="G27"/>
  <c r="H27"/>
  <c r="I27"/>
  <c r="K27"/>
  <c r="D28"/>
  <c r="E28"/>
  <c r="F28"/>
  <c r="G28"/>
  <c r="H28"/>
  <c r="I28"/>
  <c r="K28"/>
  <c r="D29"/>
  <c r="E29"/>
  <c r="E46" s="1"/>
  <c r="F29"/>
  <c r="G29"/>
  <c r="H29"/>
  <c r="I29"/>
  <c r="K29"/>
  <c r="D30"/>
  <c r="E30"/>
  <c r="F30"/>
  <c r="G30"/>
  <c r="H30"/>
  <c r="I30"/>
  <c r="K30"/>
  <c r="D31"/>
  <c r="E31"/>
  <c r="F31"/>
  <c r="G31"/>
  <c r="H31"/>
  <c r="I31"/>
  <c r="K31"/>
  <c r="D32"/>
  <c r="E32"/>
  <c r="F32"/>
  <c r="G32"/>
  <c r="H32"/>
  <c r="I32"/>
  <c r="K32"/>
  <c r="D33"/>
  <c r="E33"/>
  <c r="F33"/>
  <c r="G33"/>
  <c r="H33"/>
  <c r="I33"/>
  <c r="K33"/>
  <c r="D34"/>
  <c r="E34"/>
  <c r="F34"/>
  <c r="G34"/>
  <c r="H34"/>
  <c r="I34"/>
  <c r="K34"/>
  <c r="D35"/>
  <c r="E35"/>
  <c r="F35"/>
  <c r="G35"/>
  <c r="H35"/>
  <c r="I35"/>
  <c r="K35"/>
  <c r="D36"/>
  <c r="E36"/>
  <c r="F36"/>
  <c r="G36"/>
  <c r="H36"/>
  <c r="I36"/>
  <c r="K36"/>
  <c r="D37"/>
  <c r="E37"/>
  <c r="F37"/>
  <c r="G37"/>
  <c r="H37"/>
  <c r="I37"/>
  <c r="K37"/>
  <c r="D38"/>
  <c r="E38"/>
  <c r="F38"/>
  <c r="G38"/>
  <c r="H38"/>
  <c r="I38"/>
  <c r="J38"/>
  <c r="K38"/>
  <c r="L38"/>
  <c r="D39"/>
  <c r="E39"/>
  <c r="F39"/>
  <c r="G39"/>
  <c r="H39"/>
  <c r="I39"/>
  <c r="J39"/>
  <c r="K39"/>
  <c r="L39"/>
  <c r="E25"/>
  <c r="F25"/>
  <c r="G25"/>
  <c r="H25"/>
  <c r="I25"/>
  <c r="K25"/>
  <c r="D25"/>
  <c r="E45"/>
  <c r="G10" i="99" l="1"/>
  <c r="H10"/>
  <c r="M10" s="1"/>
  <c r="F9"/>
  <c r="H11"/>
  <c r="M11" s="1"/>
  <c r="H9"/>
  <c r="M9" s="1"/>
  <c r="E43" i="98"/>
  <c r="D46"/>
  <c r="D44"/>
  <c r="D45"/>
  <c r="AI26" i="2" l="1"/>
  <c r="AH26"/>
  <c r="Z26"/>
  <c r="Y26"/>
  <c r="AH14"/>
  <c r="AH13"/>
  <c r="AH12"/>
  <c r="AQ12" s="1"/>
  <c r="Y14"/>
  <c r="Y13"/>
  <c r="Y12"/>
  <c r="M10" i="97"/>
  <c r="AQ26" i="2" l="1"/>
  <c r="AN26"/>
  <c r="AK26"/>
  <c r="AR26"/>
  <c r="AK18"/>
  <c r="AO17"/>
  <c r="AH15" l="1"/>
  <c r="AH16"/>
  <c r="AQ16" s="1"/>
  <c r="AH17"/>
  <c r="AQ17" s="1"/>
  <c r="AH18"/>
  <c r="AH19"/>
  <c r="AQ19" s="1"/>
  <c r="AH20"/>
  <c r="AH21"/>
  <c r="AH22"/>
  <c r="AH23"/>
  <c r="AQ23" s="1"/>
  <c r="AH24"/>
  <c r="AQ14"/>
  <c r="Y15"/>
  <c r="AQ15" s="1"/>
  <c r="Y16"/>
  <c r="Y17"/>
  <c r="Y18"/>
  <c r="AQ18" s="1"/>
  <c r="Y19"/>
  <c r="Y20"/>
  <c r="Y21"/>
  <c r="AQ21" s="1"/>
  <c r="Y22"/>
  <c r="Y23"/>
  <c r="Y24"/>
  <c r="R13"/>
  <c r="R14"/>
  <c r="AJ14" s="1"/>
  <c r="R15"/>
  <c r="R16"/>
  <c r="AJ16" s="1"/>
  <c r="R17"/>
  <c r="AJ17" s="1"/>
  <c r="R18"/>
  <c r="AJ18" s="1"/>
  <c r="R19"/>
  <c r="R20"/>
  <c r="AJ20" s="1"/>
  <c r="R21"/>
  <c r="AJ21" s="1"/>
  <c r="R22"/>
  <c r="AJ22" s="1"/>
  <c r="R23"/>
  <c r="R24"/>
  <c r="AJ24" s="1"/>
  <c r="R26"/>
  <c r="AJ26" s="1"/>
  <c r="AK13"/>
  <c r="AK12"/>
  <c r="AL12"/>
  <c r="AM12"/>
  <c r="AN12"/>
  <c r="AO12"/>
  <c r="AP12"/>
  <c r="AR12"/>
  <c r="AL13"/>
  <c r="AM13"/>
  <c r="AN13"/>
  <c r="AO13"/>
  <c r="AP13"/>
  <c r="AQ13"/>
  <c r="AR13"/>
  <c r="AK14"/>
  <c r="AL14"/>
  <c r="AM14"/>
  <c r="AN14"/>
  <c r="AO14"/>
  <c r="AP14"/>
  <c r="AR14"/>
  <c r="AK15"/>
  <c r="AL15"/>
  <c r="AM15"/>
  <c r="AN15"/>
  <c r="AO15"/>
  <c r="AP15"/>
  <c r="AR15"/>
  <c r="AK16"/>
  <c r="AL16"/>
  <c r="AM16"/>
  <c r="AN16"/>
  <c r="AO16"/>
  <c r="AP16"/>
  <c r="AR16"/>
  <c r="AK17"/>
  <c r="AL17"/>
  <c r="AM17"/>
  <c r="AN17"/>
  <c r="AP17"/>
  <c r="AR17"/>
  <c r="AL18"/>
  <c r="AM18"/>
  <c r="AN18"/>
  <c r="AO18"/>
  <c r="AP18"/>
  <c r="AR18"/>
  <c r="AK19"/>
  <c r="AL19"/>
  <c r="AM19"/>
  <c r="AN19"/>
  <c r="AO19"/>
  <c r="AP19"/>
  <c r="AR19"/>
  <c r="AK20"/>
  <c r="AL20"/>
  <c r="AM20"/>
  <c r="AN20"/>
  <c r="AO20"/>
  <c r="AP20"/>
  <c r="AR20"/>
  <c r="AK21"/>
  <c r="AL21"/>
  <c r="AM21"/>
  <c r="AN21"/>
  <c r="AO21"/>
  <c r="AP21"/>
  <c r="AR21"/>
  <c r="AK22"/>
  <c r="AL22"/>
  <c r="AM22"/>
  <c r="AN22"/>
  <c r="AO22"/>
  <c r="AP22"/>
  <c r="AR22"/>
  <c r="AK23"/>
  <c r="AL23"/>
  <c r="AM23"/>
  <c r="AN23"/>
  <c r="AO23"/>
  <c r="AP23"/>
  <c r="AR23"/>
  <c r="AK24"/>
  <c r="AL24"/>
  <c r="AM24"/>
  <c r="AN24"/>
  <c r="AO24"/>
  <c r="AP24"/>
  <c r="AR24"/>
  <c r="AL26"/>
  <c r="AM26"/>
  <c r="AO26"/>
  <c r="AP26"/>
  <c r="AK27"/>
  <c r="AL27"/>
  <c r="AM27"/>
  <c r="AN27"/>
  <c r="AO27"/>
  <c r="AP27"/>
  <c r="AQ27"/>
  <c r="AR27"/>
  <c r="AJ15"/>
  <c r="AJ19"/>
  <c r="AJ23"/>
  <c r="AJ27"/>
  <c r="AJ12"/>
  <c r="R12"/>
  <c r="AQ24" l="1"/>
  <c r="AQ22"/>
  <c r="AQ20"/>
  <c r="AJ13"/>
  <c r="AJ7" s="1"/>
  <c r="E9" i="1" s="1"/>
  <c r="AK7" i="2"/>
  <c r="E11" i="1" s="1"/>
  <c r="AL7" i="2"/>
  <c r="E12" i="1" s="1"/>
  <c r="AR28" i="2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L6"/>
  <c r="D12" i="1" s="1"/>
  <c r="AR54" i="2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J9" i="1"/>
  <c r="K9" s="1"/>
  <c r="G9" s="1"/>
  <c r="J10"/>
  <c r="K10" s="1"/>
  <c r="J11"/>
  <c r="K11" s="1"/>
  <c r="H11" s="1"/>
  <c r="J12"/>
  <c r="K12" s="1"/>
  <c r="H12" s="1"/>
  <c r="H7"/>
  <c r="F12" i="97"/>
  <c r="F11"/>
  <c r="F10"/>
  <c r="J10"/>
  <c r="K10" s="1"/>
  <c r="J12"/>
  <c r="K12"/>
  <c r="H12" s="1"/>
  <c r="M12" s="1"/>
  <c r="L12"/>
  <c r="J11"/>
  <c r="K11" s="1"/>
  <c r="L11"/>
  <c r="L10"/>
  <c r="J9"/>
  <c r="K9" s="1"/>
  <c r="F9"/>
  <c r="L9"/>
  <c r="R31"/>
  <c r="H7"/>
  <c r="G12"/>
  <c r="AR50" i="3"/>
  <c r="AR25"/>
  <c r="AR26"/>
  <c r="AR27"/>
  <c r="AR28"/>
  <c r="AR29"/>
  <c r="AR30"/>
  <c r="AR31"/>
  <c r="AR32"/>
  <c r="AR33"/>
  <c r="AR34"/>
  <c r="AR36"/>
  <c r="AR37"/>
  <c r="AR38"/>
  <c r="AR39"/>
  <c r="AR40"/>
  <c r="AR41"/>
  <c r="AR42"/>
  <c r="AR43"/>
  <c r="AR44"/>
  <c r="AR45"/>
  <c r="AR46"/>
  <c r="AR47"/>
  <c r="AR48"/>
  <c r="AR49"/>
  <c r="AR13"/>
  <c r="AR14"/>
  <c r="AR15"/>
  <c r="AR17"/>
  <c r="AR16"/>
  <c r="AR18"/>
  <c r="AR19"/>
  <c r="AR23"/>
  <c r="AR20"/>
  <c r="AR21"/>
  <c r="AR22"/>
  <c r="AR24"/>
  <c r="AR12"/>
  <c r="AL6"/>
  <c r="AK7"/>
  <c r="AR51"/>
  <c r="AR35"/>
  <c r="AL7"/>
  <c r="AK6"/>
  <c r="AK5"/>
  <c r="G11" i="1" l="1"/>
  <c r="H10"/>
  <c r="G10"/>
  <c r="G12"/>
  <c r="H9"/>
  <c r="AL5" i="2"/>
  <c r="B12" i="1" s="1"/>
  <c r="F12" s="1"/>
  <c r="AK6" i="2"/>
  <c r="D11" i="1" s="1"/>
  <c r="AK5" i="2"/>
  <c r="B11" i="1" s="1"/>
  <c r="F11" s="1"/>
  <c r="O12" i="97"/>
  <c r="O10" s="1"/>
  <c r="H9"/>
  <c r="M9" s="1"/>
  <c r="G9"/>
  <c r="AM7" i="3"/>
  <c r="AM6"/>
  <c r="AM5"/>
  <c r="G11" i="97"/>
  <c r="H11"/>
  <c r="M11" s="1"/>
  <c r="H10"/>
  <c r="G10"/>
  <c r="AM7" i="2"/>
  <c r="E10" i="1" s="1"/>
  <c r="AM6" i="2"/>
  <c r="D10" i="1" s="1"/>
  <c r="AM5" i="2"/>
  <c r="B10" i="1" s="1"/>
  <c r="F10" s="1"/>
  <c r="AJ6" i="2"/>
  <c r="D9" i="1" s="1"/>
  <c r="AJ5" i="2"/>
  <c r="B9" i="1" s="1"/>
  <c r="F9" s="1"/>
  <c r="AJ6" i="3"/>
  <c r="AJ7"/>
  <c r="AJ5"/>
  <c r="AL5"/>
  <c r="O12" i="1"/>
  <c r="O10" s="1"/>
  <c r="L11" l="1"/>
  <c r="M11"/>
  <c r="L12"/>
  <c r="M12"/>
  <c r="L9"/>
  <c r="M9"/>
  <c r="L10"/>
  <c r="M10"/>
</calcChain>
</file>

<file path=xl/sharedStrings.xml><?xml version="1.0" encoding="utf-8"?>
<sst xmlns="http://schemas.openxmlformats.org/spreadsheetml/2006/main" count="421" uniqueCount="143">
  <si>
    <t>Localisation :</t>
  </si>
  <si>
    <t>Statistiques sur les erreurs relatives</t>
  </si>
  <si>
    <t>Sens :</t>
  </si>
  <si>
    <t>TOUS VEHICULES</t>
  </si>
  <si>
    <t>PT</t>
  </si>
  <si>
    <t>ES</t>
  </si>
  <si>
    <t>ESG</t>
  </si>
  <si>
    <t>GE</t>
  </si>
  <si>
    <t>Voie :</t>
  </si>
  <si>
    <t>Nombre</t>
  </si>
  <si>
    <t>Nombre pesée :</t>
  </si>
  <si>
    <t>Erreur moyenne</t>
  </si>
  <si>
    <t>Ecart type</t>
  </si>
  <si>
    <t xml:space="preserve">Date de </t>
  </si>
  <si>
    <t>N°</t>
  </si>
  <si>
    <t>Heure</t>
  </si>
  <si>
    <t>Vit</t>
  </si>
  <si>
    <t>Q</t>
  </si>
  <si>
    <t>pos</t>
  </si>
  <si>
    <t>Te</t>
  </si>
  <si>
    <t>Silhouette</t>
  </si>
  <si>
    <t>Groupe de l'essieu</t>
  </si>
  <si>
    <t>Erreur relative en %</t>
  </si>
  <si>
    <t>Mesures</t>
  </si>
  <si>
    <t>Immatriculation</t>
  </si>
  <si>
    <t>Type</t>
  </si>
  <si>
    <t>VTR</t>
  </si>
  <si>
    <t>A1</t>
  </si>
  <si>
    <t>A2</t>
  </si>
  <si>
    <t>A3</t>
  </si>
  <si>
    <t>A4</t>
  </si>
  <si>
    <t>A5</t>
  </si>
  <si>
    <t>A6</t>
  </si>
  <si>
    <t>NI</t>
  </si>
  <si>
    <t>E1</t>
  </si>
  <si>
    <t>E2</t>
  </si>
  <si>
    <t>E3</t>
  </si>
  <si>
    <t>E4</t>
  </si>
  <si>
    <t>E5</t>
  </si>
  <si>
    <t>E6</t>
  </si>
  <si>
    <t>GE1</t>
  </si>
  <si>
    <t>GE2</t>
  </si>
  <si>
    <t>Poids en marche en kg</t>
  </si>
  <si>
    <t>Poids statiques en kg</t>
  </si>
  <si>
    <t>COST 323 : European Specifications on WIM</t>
  </si>
  <si>
    <t>Accuracy calculation (9. Initial verification/10. In service verification)</t>
  </si>
  <si>
    <t>Fulfil the green cells, and if necessary the blue ones</t>
  </si>
  <si>
    <t>Test plan</t>
  </si>
  <si>
    <t>Initial verification (Yes=1, No=0):</t>
  </si>
  <si>
    <t>rr2</t>
  </si>
  <si>
    <t>I</t>
  </si>
  <si>
    <t>SYSTEM</t>
  </si>
  <si>
    <t>Number</t>
  </si>
  <si>
    <t>Identified</t>
  </si>
  <si>
    <t>Mean</t>
  </si>
  <si>
    <t>Std deviat</t>
  </si>
  <si>
    <t>Class</t>
  </si>
  <si>
    <t>class</t>
  </si>
  <si>
    <t>p</t>
  </si>
  <si>
    <t>Accepted</t>
  </si>
  <si>
    <t>See definitons on lines 42 and below</t>
  </si>
  <si>
    <t>Entity</t>
  </si>
  <si>
    <t>(%)</t>
  </si>
  <si>
    <t>gross weight</t>
  </si>
  <si>
    <t>group of axles</t>
  </si>
  <si>
    <t>single axle</t>
  </si>
  <si>
    <t>axle of group</t>
  </si>
  <si>
    <t>(1)</t>
  </si>
  <si>
    <t>"r1"=full repeatability</t>
  </si>
  <si>
    <t>Users' instructions:</t>
  </si>
  <si>
    <t>"r2"=extended repeatability</t>
  </si>
  <si>
    <t>1.</t>
  </si>
  <si>
    <t xml:space="preserve">Enter the test conditions in cells B5 and D5, and put "1" in cell M4 if the same data sample </t>
  </si>
  <si>
    <t>"rr1"=limited reproducibility</t>
  </si>
  <si>
    <t>was used for calibration (initial verification), "0" otherwise (in service verification)</t>
  </si>
  <si>
    <t>"rr2"=full reproducibility</t>
  </si>
  <si>
    <t>2.</t>
  </si>
  <si>
    <t>Enter the test statistics (on relative errors) in cells B9 to B12 and D9 to E12</t>
  </si>
  <si>
    <t>"I"=environmental repeatability</t>
  </si>
  <si>
    <t>3. (option)</t>
  </si>
  <si>
    <t>"II"=environmental limited reproducibility</t>
  </si>
  <si>
    <t>4.</t>
  </si>
  <si>
    <t>Start the command "Tools/Solver/Solve/keep the results"</t>
  </si>
  <si>
    <t>"III"=environmental full reproducibility</t>
  </si>
  <si>
    <t xml:space="preserve"> - "Outils/Solveur/Résoudre/Garder la solution du solveur", and then OK if successful</t>
  </si>
  <si>
    <t xml:space="preserve">if the solver doesn't find an accepted solution, </t>
  </si>
  <si>
    <t>Definitons</t>
  </si>
  <si>
    <r>
      <t xml:space="preserve">Conditions </t>
    </r>
    <r>
      <rPr>
        <b/>
        <vertAlign val="superscript"/>
        <sz val="10"/>
        <rFont val="Arial"/>
        <family val="2"/>
      </rPr>
      <t>(1)</t>
    </r>
  </si>
  <si>
    <r>
      <t>Env</t>
    </r>
    <r>
      <rPr>
        <b/>
        <vertAlign val="superscript"/>
        <sz val="10"/>
        <rFont val="Arial"/>
        <family val="2"/>
      </rPr>
      <t>t</t>
    </r>
  </si>
  <si>
    <r>
      <t>p</t>
    </r>
    <r>
      <rPr>
        <b/>
        <vertAlign val="subscript"/>
        <sz val="10"/>
        <rFont val="Arial"/>
        <family val="2"/>
      </rPr>
      <t>o</t>
    </r>
  </si>
  <si>
    <r>
      <t>d</t>
    </r>
    <r>
      <rPr>
        <b/>
        <vertAlign val="subscript"/>
        <sz val="10"/>
        <rFont val="Arial"/>
        <family val="2"/>
      </rPr>
      <t>min</t>
    </r>
  </si>
  <si>
    <r>
      <t>d</t>
    </r>
    <r>
      <rPr>
        <b/>
        <vertAlign val="subscript"/>
        <sz val="10"/>
        <rFont val="Arial"/>
        <family val="2"/>
      </rPr>
      <t>c</t>
    </r>
  </si>
  <si>
    <r>
      <t>p</t>
    </r>
    <r>
      <rPr>
        <b/>
        <sz val="10"/>
        <rFont val="Arial"/>
        <family val="2"/>
      </rPr>
      <t>'</t>
    </r>
  </si>
  <si>
    <r>
      <t xml:space="preserve">Initialise the expected values of </t>
    </r>
    <r>
      <rPr>
        <sz val="10"/>
        <color indexed="12"/>
        <rFont val="Symbol"/>
        <family val="1"/>
        <charset val="2"/>
      </rPr>
      <t>d</t>
    </r>
    <r>
      <rPr>
        <vertAlign val="subscript"/>
        <sz val="10"/>
        <color indexed="12"/>
        <rFont val="Arial"/>
        <family val="2"/>
      </rPr>
      <t>min</t>
    </r>
    <r>
      <rPr>
        <sz val="10"/>
        <color indexed="12"/>
        <rFont val="Arial"/>
        <family val="2"/>
      </rPr>
      <t xml:space="preserve"> in cells I9 to I12 </t>
    </r>
    <r>
      <rPr>
        <b/>
        <i/>
        <sz val="10"/>
        <color indexed="12"/>
        <rFont val="Arial"/>
        <family val="2"/>
      </rPr>
      <t>(only if step 4. fails)</t>
    </r>
  </si>
  <si>
    <r>
      <t xml:space="preserve">return to step 3. and modify the initial values of </t>
    </r>
    <r>
      <rPr>
        <b/>
        <i/>
        <sz val="10"/>
        <color indexed="12"/>
        <rFont val="Symbol"/>
        <family val="1"/>
        <charset val="2"/>
      </rPr>
      <t>d</t>
    </r>
    <r>
      <rPr>
        <b/>
        <i/>
        <vertAlign val="subscript"/>
        <sz val="10"/>
        <color indexed="12"/>
        <rFont val="Arial"/>
        <family val="2"/>
      </rPr>
      <t>min</t>
    </r>
  </si>
  <si>
    <r>
      <t>Number</t>
    </r>
    <r>
      <rPr>
        <sz val="10"/>
        <color indexed="58"/>
        <rFont val="Arial"/>
        <family val="2"/>
      </rPr>
      <t>: number of measured vehicles/axles/etc. which are valid and kept for the test (may be less than those of the test plan)</t>
    </r>
  </si>
  <si>
    <r>
      <t>Identified</t>
    </r>
    <r>
      <rPr>
        <sz val="10"/>
        <color indexed="58"/>
        <rFont val="Arial"/>
        <family val="2"/>
      </rPr>
      <t>: percentage of the total number of measured vehicles/axles/etc. which are valid and kept for the test (enter by hand)</t>
    </r>
  </si>
  <si>
    <r>
      <t>Mean, Std Deviation</t>
    </r>
    <r>
      <rPr>
        <sz val="10"/>
        <color indexed="58"/>
        <rFont val="Arial"/>
        <family val="2"/>
      </rPr>
      <t>: mean and standard deviation of the individual relative errors with respect to the static reference loads</t>
    </r>
  </si>
  <si>
    <r>
      <t>p</t>
    </r>
    <r>
      <rPr>
        <sz val="8"/>
        <color indexed="58"/>
        <rFont val="Symbol"/>
        <family val="1"/>
        <charset val="2"/>
      </rPr>
      <t>o</t>
    </r>
    <r>
      <rPr>
        <sz val="10"/>
        <color indexed="58"/>
        <rFont val="Arial"/>
        <family val="2"/>
      </rPr>
      <t xml:space="preserve">: minimum required level of confidence within the class tolerance 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, i.e. of the confidence interval [-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;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]</t>
    </r>
  </si>
  <si>
    <r>
      <t>d</t>
    </r>
    <r>
      <rPr>
        <i/>
        <sz val="8"/>
        <color indexed="58"/>
        <rFont val="Arial"/>
        <family val="2"/>
      </rPr>
      <t>min</t>
    </r>
    <r>
      <rPr>
        <sz val="10"/>
        <color indexed="58"/>
        <rFont val="Arial"/>
        <family val="2"/>
      </rPr>
      <t xml:space="preserve">: for each criterion, tolerance (half width of the confidence interval) which exactly corresponds to the minimum required level of confidence </t>
    </r>
    <r>
      <rPr>
        <sz val="10"/>
        <color indexed="58"/>
        <rFont val="Symbol"/>
        <family val="1"/>
        <charset val="2"/>
      </rPr>
      <t>p</t>
    </r>
    <r>
      <rPr>
        <sz val="8"/>
        <color indexed="58"/>
        <rFont val="Symbol"/>
        <family val="1"/>
        <charset val="2"/>
      </rPr>
      <t>o</t>
    </r>
  </si>
  <si>
    <r>
      <t>d</t>
    </r>
    <r>
      <rPr>
        <i/>
        <sz val="8"/>
        <color indexed="58"/>
        <rFont val="Arial"/>
        <family val="2"/>
      </rPr>
      <t>c</t>
    </r>
    <r>
      <rPr>
        <sz val="10"/>
        <color indexed="58"/>
        <rFont val="Arial"/>
        <family val="2"/>
      </rPr>
      <t xml:space="preserve">: "best acceptable interpolated class for the given criterion", i.e. tolerance on the GW which exactly corresponds to the </t>
    </r>
    <r>
      <rPr>
        <sz val="10"/>
        <color indexed="58"/>
        <rFont val="Symbol"/>
        <family val="1"/>
        <charset val="2"/>
      </rPr>
      <t>d</t>
    </r>
    <r>
      <rPr>
        <sz val="8"/>
        <color indexed="58"/>
        <rFont val="Arial"/>
        <family val="2"/>
      </rPr>
      <t xml:space="preserve">min </t>
    </r>
    <r>
      <rPr>
        <sz val="10"/>
        <color indexed="58"/>
        <rFont val="Arial"/>
        <family val="2"/>
      </rPr>
      <t>of the given criterion</t>
    </r>
  </si>
  <si>
    <t>2 bilatérale</t>
  </si>
  <si>
    <t>1 unilatérale</t>
  </si>
  <si>
    <t>T2S3</t>
  </si>
  <si>
    <t>lente et rapide</t>
  </si>
  <si>
    <t>Senlis</t>
  </si>
  <si>
    <t>Province - Paris</t>
  </si>
  <si>
    <t>DV-997-VP</t>
  </si>
  <si>
    <t>SiWIM</t>
  </si>
  <si>
    <t>Chamant</t>
  </si>
  <si>
    <t>7096 JBZ (Espagne)</t>
  </si>
  <si>
    <t>BS 364 OC</t>
  </si>
  <si>
    <t>Citerne</t>
  </si>
  <si>
    <t>BW 063 PB</t>
  </si>
  <si>
    <t>DJ 868 MR</t>
  </si>
  <si>
    <t>CJ 13 ZZF (Roumanie)</t>
  </si>
  <si>
    <t>DT 716 WE</t>
  </si>
  <si>
    <t>CR 213 JT</t>
  </si>
  <si>
    <t>T2R3</t>
  </si>
  <si>
    <t>8UO05420</t>
  </si>
  <si>
    <t>DB 182 SC</t>
  </si>
  <si>
    <t>DN 081 SY</t>
  </si>
  <si>
    <t>07 BBZ 9 5Pays-Bas)</t>
  </si>
  <si>
    <t xml:space="preserve">YP 60 HRN </t>
  </si>
  <si>
    <t>36 BBX 1 (Pays-Bas)</t>
  </si>
  <si>
    <t>T3R3</t>
  </si>
  <si>
    <t/>
  </si>
  <si>
    <t xml:space="preserve">Erreur </t>
  </si>
  <si>
    <t>Erreurs</t>
  </si>
  <si>
    <t>Entre 0 et 5%</t>
  </si>
  <si>
    <t xml:space="preserve">Entre 5% et 10% </t>
  </si>
  <si>
    <t>Entre 10 et 15%</t>
  </si>
  <si>
    <t xml:space="preserve">Entre 15 et 20% </t>
  </si>
  <si>
    <t>Erreur en % et valeur absolue</t>
  </si>
  <si>
    <t>PTC</t>
  </si>
  <si>
    <t>Groupe d'essieux</t>
  </si>
  <si>
    <t>Essieu simple</t>
  </si>
  <si>
    <t>Essieu de groupe</t>
  </si>
  <si>
    <t>Identifié</t>
  </si>
  <si>
    <t>Moyenne</t>
  </si>
  <si>
    <t>Ecart-type</t>
  </si>
  <si>
    <t>Classe</t>
  </si>
  <si>
    <t>Classe finale</t>
  </si>
</sst>
</file>

<file path=xl/styles.xml><?xml version="1.0" encoding="utf-8"?>
<styleSheet xmlns="http://schemas.openxmlformats.org/spreadsheetml/2006/main">
  <numFmts count="3">
    <numFmt numFmtId="164" formatCode="0.0"/>
    <numFmt numFmtId="165" formatCode="h:mm;@"/>
    <numFmt numFmtId="166" formatCode="_-* #,##0&quot;F&quot;_-;\-* #,##0&quot;F&quot;_-;_-* &quot;-&quot;&quot;F&quot;_-;_-@_-"/>
  </numFmts>
  <fonts count="34">
    <font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b/>
      <vertAlign val="super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sz val="10"/>
      <name val="Times New Roman"/>
      <family val="1"/>
    </font>
    <font>
      <sz val="10"/>
      <name val="Symbol"/>
      <family val="1"/>
      <charset val="2"/>
    </font>
    <font>
      <i/>
      <sz val="10"/>
      <color indexed="58"/>
      <name val="Arial"/>
      <family val="2"/>
    </font>
    <font>
      <b/>
      <i/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2"/>
      <name val="Symbol"/>
      <family val="1"/>
      <charset val="2"/>
    </font>
    <font>
      <vertAlign val="subscript"/>
      <sz val="10"/>
      <color indexed="12"/>
      <name val="Arial"/>
      <family val="2"/>
    </font>
    <font>
      <b/>
      <i/>
      <sz val="10"/>
      <color indexed="12"/>
      <name val="Symbol"/>
      <family val="1"/>
      <charset val="2"/>
    </font>
    <font>
      <b/>
      <i/>
      <vertAlign val="subscript"/>
      <sz val="10"/>
      <color indexed="12"/>
      <name val="Arial"/>
      <family val="2"/>
    </font>
    <font>
      <b/>
      <sz val="10"/>
      <color indexed="58"/>
      <name val="Arial"/>
      <family val="2"/>
    </font>
    <font>
      <sz val="10"/>
      <color indexed="58"/>
      <name val="Arial"/>
      <family val="2"/>
    </font>
    <font>
      <sz val="8"/>
      <color indexed="58"/>
      <name val="Symbol"/>
      <family val="1"/>
      <charset val="2"/>
    </font>
    <font>
      <sz val="10"/>
      <color indexed="58"/>
      <name val="Symbol"/>
      <family val="1"/>
      <charset val="2"/>
    </font>
    <font>
      <i/>
      <sz val="8"/>
      <color indexed="58"/>
      <name val="Arial"/>
      <family val="2"/>
    </font>
    <font>
      <i/>
      <sz val="10"/>
      <color indexed="58"/>
      <name val="Symbol"/>
      <family val="1"/>
      <charset val="2"/>
    </font>
    <font>
      <sz val="8"/>
      <color indexed="5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49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9" fontId="12" fillId="0" borderId="0" applyFill="0" applyBorder="0" applyAlignment="0" applyProtection="0"/>
  </cellStyleXfs>
  <cellXfs count="169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Fill="1" applyBorder="1"/>
    <xf numFmtId="0" fontId="3" fillId="0" borderId="0" xfId="0" applyFont="1" applyFill="1" applyBorder="1"/>
    <xf numFmtId="0" fontId="3" fillId="2" borderId="0" xfId="0" applyFont="1" applyFill="1" applyBorder="1"/>
    <xf numFmtId="0" fontId="5" fillId="2" borderId="0" xfId="0" applyFont="1" applyFill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7" fontId="3" fillId="0" borderId="0" xfId="0" applyNumberFormat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1" applyFont="1" applyBorder="1" applyAlignment="1">
      <alignment vertical="center"/>
    </xf>
    <xf numFmtId="10" fontId="5" fillId="0" borderId="0" xfId="1" applyNumberFormat="1" applyFont="1" applyFill="1" applyBorder="1" applyAlignment="1">
      <alignment horizontal="center" vertical="center"/>
    </xf>
    <xf numFmtId="10" fontId="5" fillId="0" borderId="0" xfId="3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3" fillId="0" borderId="0" xfId="0" applyFont="1" applyFill="1"/>
    <xf numFmtId="0" fontId="3" fillId="3" borderId="3" xfId="1" applyFont="1" applyFill="1" applyBorder="1" applyAlignment="1" applyProtection="1">
      <alignment horizontal="center" vertical="center"/>
      <protection locked="0"/>
    </xf>
    <xf numFmtId="0" fontId="3" fillId="0" borderId="4" xfId="1" applyFont="1" applyFill="1" applyBorder="1" applyAlignment="1" applyProtection="1">
      <alignment horizontal="center" vertical="center"/>
      <protection locked="0"/>
    </xf>
    <xf numFmtId="0" fontId="3" fillId="0" borderId="5" xfId="1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3" borderId="7" xfId="1" applyFont="1" applyFill="1" applyBorder="1" applyAlignment="1">
      <alignment horizontal="center" vertical="center"/>
    </xf>
    <xf numFmtId="1" fontId="3" fillId="3" borderId="7" xfId="1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8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/>
    </xf>
    <xf numFmtId="0" fontId="3" fillId="0" borderId="7" xfId="0" applyFont="1" applyBorder="1"/>
    <xf numFmtId="0" fontId="5" fillId="0" borderId="7" xfId="0" applyFont="1" applyFill="1" applyBorder="1" applyAlignment="1">
      <alignment horizontal="center"/>
    </xf>
    <xf numFmtId="0" fontId="5" fillId="0" borderId="7" xfId="0" applyFont="1" applyBorder="1" applyAlignment="1"/>
    <xf numFmtId="0" fontId="5" fillId="4" borderId="7" xfId="0" applyFont="1" applyFill="1" applyBorder="1" applyAlignment="1"/>
    <xf numFmtId="0" fontId="5" fillId="0" borderId="7" xfId="1" applyFont="1" applyBorder="1" applyAlignment="1">
      <alignment vertical="center"/>
    </xf>
    <xf numFmtId="10" fontId="5" fillId="4" borderId="7" xfId="1" applyNumberFormat="1" applyFont="1" applyFill="1" applyBorder="1" applyAlignment="1">
      <alignment horizontal="center" vertical="center"/>
    </xf>
    <xf numFmtId="10" fontId="5" fillId="4" borderId="7" xfId="3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Border="1"/>
    <xf numFmtId="14" fontId="3" fillId="0" borderId="7" xfId="0" applyNumberFormat="1" applyFont="1" applyFill="1" applyBorder="1" applyAlignment="1">
      <alignment horizontal="center"/>
    </xf>
    <xf numFmtId="0" fontId="3" fillId="3" borderId="7" xfId="1" applyFont="1" applyFill="1" applyBorder="1" applyAlignment="1" applyProtection="1">
      <alignment horizontal="center" vertical="center"/>
      <protection locked="0"/>
    </xf>
    <xf numFmtId="1" fontId="3" fillId="5" borderId="7" xfId="0" applyNumberFormat="1" applyFont="1" applyFill="1" applyBorder="1" applyAlignment="1" applyProtection="1">
      <alignment horizontal="center"/>
      <protection locked="0"/>
    </xf>
    <xf numFmtId="1" fontId="3" fillId="6" borderId="7" xfId="1" applyNumberFormat="1" applyFont="1" applyFill="1" applyBorder="1" applyAlignment="1" applyProtection="1">
      <alignment horizontal="center" vertical="center"/>
      <protection locked="0"/>
    </xf>
    <xf numFmtId="10" fontId="3" fillId="5" borderId="7" xfId="3" applyNumberFormat="1" applyFont="1" applyFill="1" applyBorder="1" applyAlignment="1" applyProtection="1">
      <alignment horizontal="center" vertical="center"/>
      <protection locked="0"/>
    </xf>
    <xf numFmtId="10" fontId="3" fillId="3" borderId="7" xfId="3" applyNumberFormat="1" applyFont="1" applyFill="1" applyBorder="1" applyAlignment="1" applyProtection="1">
      <alignment horizontal="center" vertical="center"/>
      <protection locked="0"/>
    </xf>
    <xf numFmtId="10" fontId="3" fillId="6" borderId="7" xfId="3" applyNumberFormat="1" applyFont="1" applyFill="1" applyBorder="1" applyAlignment="1" applyProtection="1">
      <alignment horizontal="center" vertical="center"/>
      <protection locked="0"/>
    </xf>
    <xf numFmtId="0" fontId="3" fillId="3" borderId="9" xfId="1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9" xfId="1" applyFont="1" applyFill="1" applyBorder="1" applyAlignment="1" applyProtection="1">
      <alignment horizontal="center" vertical="center"/>
      <protection locked="0"/>
    </xf>
    <xf numFmtId="0" fontId="5" fillId="0" borderId="10" xfId="0" applyFont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" fontId="3" fillId="3" borderId="7" xfId="1" applyNumberFormat="1" applyFont="1" applyFill="1" applyBorder="1" applyAlignment="1" applyProtection="1">
      <alignment horizontal="center"/>
      <protection locked="0"/>
    </xf>
    <xf numFmtId="1" fontId="3" fillId="0" borderId="7" xfId="1" applyNumberFormat="1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 applyProtection="1">
      <alignment horizontal="center"/>
      <protection locked="0"/>
    </xf>
    <xf numFmtId="1" fontId="3" fillId="3" borderId="7" xfId="0" applyNumberFormat="1" applyFont="1" applyFill="1" applyBorder="1" applyAlignment="1" applyProtection="1">
      <alignment horizontal="center"/>
      <protection locked="0"/>
    </xf>
    <xf numFmtId="0" fontId="3" fillId="3" borderId="14" xfId="1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21" fontId="3" fillId="0" borderId="6" xfId="1" applyNumberFormat="1" applyFont="1" applyFill="1" applyBorder="1" applyAlignment="1" applyProtection="1">
      <alignment horizontal="center"/>
      <protection locked="0"/>
    </xf>
    <xf numFmtId="0" fontId="3" fillId="0" borderId="16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5" fontId="3" fillId="0" borderId="7" xfId="0" applyNumberFormat="1" applyFont="1" applyBorder="1"/>
    <xf numFmtId="0" fontId="3" fillId="0" borderId="17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18" xfId="0" applyFont="1" applyFill="1" applyBorder="1" applyAlignment="1">
      <alignment horizontal="center"/>
    </xf>
    <xf numFmtId="0" fontId="3" fillId="0" borderId="18" xfId="1" applyNumberFormat="1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 vertical="center"/>
    </xf>
    <xf numFmtId="0" fontId="0" fillId="0" borderId="7" xfId="0" applyBorder="1"/>
    <xf numFmtId="0" fontId="3" fillId="0" borderId="17" xfId="1" applyFont="1" applyFill="1" applyBorder="1" applyAlignment="1" applyProtection="1">
      <alignment horizontal="center" vertical="center"/>
      <protection locked="0"/>
    </xf>
    <xf numFmtId="0" fontId="3" fillId="0" borderId="2" xfId="1" applyFont="1" applyFill="1" applyBorder="1" applyAlignment="1" applyProtection="1">
      <alignment horizontal="center" vertical="center"/>
      <protection locked="0"/>
    </xf>
    <xf numFmtId="0" fontId="3" fillId="0" borderId="18" xfId="1" applyFont="1" applyFill="1" applyBorder="1" applyAlignment="1" applyProtection="1">
      <alignment horizontal="center" vertical="center"/>
      <protection locked="0"/>
    </xf>
    <xf numFmtId="0" fontId="3" fillId="0" borderId="19" xfId="1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/>
    <xf numFmtId="0" fontId="6" fillId="3" borderId="0" xfId="0" applyFont="1" applyFill="1" applyAlignment="1">
      <alignment horizontal="center"/>
    </xf>
    <xf numFmtId="0" fontId="1" fillId="0" borderId="0" xfId="2"/>
    <xf numFmtId="0" fontId="7" fillId="0" borderId="0" xfId="2" applyFont="1" applyAlignment="1">
      <alignment vertical="top"/>
    </xf>
    <xf numFmtId="0" fontId="8" fillId="0" borderId="0" xfId="2" applyFont="1"/>
    <xf numFmtId="0" fontId="9" fillId="0" borderId="0" xfId="2" applyFont="1"/>
    <xf numFmtId="0" fontId="11" fillId="0" borderId="7" xfId="2" applyFont="1" applyBorder="1" applyAlignment="1">
      <alignment horizontal="left"/>
    </xf>
    <xf numFmtId="0" fontId="11" fillId="0" borderId="7" xfId="2" applyFont="1" applyBorder="1"/>
    <xf numFmtId="0" fontId="11" fillId="0" borderId="18" xfId="2" applyFont="1" applyBorder="1"/>
    <xf numFmtId="0" fontId="1" fillId="0" borderId="20" xfId="2" applyBorder="1"/>
    <xf numFmtId="0" fontId="1" fillId="0" borderId="6" xfId="2" applyBorder="1"/>
    <xf numFmtId="0" fontId="1" fillId="0" borderId="7" xfId="2" applyBorder="1" applyAlignment="1">
      <alignment horizontal="center"/>
    </xf>
    <xf numFmtId="0" fontId="1" fillId="0" borderId="7" xfId="2" applyBorder="1"/>
    <xf numFmtId="0" fontId="12" fillId="0" borderId="18" xfId="2" applyFont="1" applyBorder="1" applyAlignment="1" applyProtection="1">
      <alignment horizontal="right"/>
      <protection locked="0"/>
    </xf>
    <xf numFmtId="0" fontId="12" fillId="0" borderId="6" xfId="2" applyFont="1" applyBorder="1" applyAlignment="1" applyProtection="1">
      <alignment horizontal="center"/>
      <protection locked="0"/>
    </xf>
    <xf numFmtId="0" fontId="12" fillId="0" borderId="7" xfId="2" applyFont="1" applyBorder="1" applyAlignment="1" applyProtection="1">
      <alignment horizontal="center"/>
      <protection locked="0"/>
    </xf>
    <xf numFmtId="0" fontId="11" fillId="0" borderId="0" xfId="2" applyFont="1" applyBorder="1" applyAlignment="1">
      <alignment horizontal="center" vertical="center"/>
    </xf>
    <xf numFmtId="0" fontId="1" fillId="0" borderId="0" xfId="2" applyBorder="1" applyAlignment="1">
      <alignment horizontal="center" vertical="center"/>
    </xf>
    <xf numFmtId="1" fontId="1" fillId="0" borderId="0" xfId="2" applyNumberFormat="1" applyBorder="1" applyAlignment="1">
      <alignment horizontal="center" vertical="center"/>
    </xf>
    <xf numFmtId="2" fontId="1" fillId="0" borderId="0" xfId="2" applyNumberFormat="1" applyBorder="1" applyAlignment="1">
      <alignment horizontal="center" vertical="center"/>
    </xf>
    <xf numFmtId="164" fontId="1" fillId="0" borderId="0" xfId="2" applyNumberFormat="1" applyBorder="1" applyAlignment="1">
      <alignment horizontal="center" vertical="center"/>
    </xf>
    <xf numFmtId="164" fontId="11" fillId="0" borderId="0" xfId="2" applyNumberFormat="1" applyFont="1" applyBorder="1" applyAlignment="1">
      <alignment horizontal="center" vertical="center"/>
    </xf>
    <xf numFmtId="164" fontId="1" fillId="0" borderId="0" xfId="2" applyNumberFormat="1" applyBorder="1"/>
    <xf numFmtId="0" fontId="11" fillId="0" borderId="7" xfId="2" applyFont="1" applyBorder="1" applyAlignment="1">
      <alignment horizontal="center" vertical="center"/>
    </xf>
    <xf numFmtId="0" fontId="14" fillId="0" borderId="7" xfId="2" applyFont="1" applyBorder="1" applyAlignment="1">
      <alignment horizontal="center" vertical="center"/>
    </xf>
    <xf numFmtId="0" fontId="15" fillId="0" borderId="7" xfId="2" applyFont="1" applyBorder="1" applyAlignment="1">
      <alignment horizontal="center" vertical="center"/>
    </xf>
    <xf numFmtId="0" fontId="16" fillId="0" borderId="7" xfId="2" applyFont="1" applyBorder="1" applyAlignment="1">
      <alignment horizontal="center" vertical="center"/>
    </xf>
    <xf numFmtId="0" fontId="14" fillId="0" borderId="21" xfId="2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17" fillId="0" borderId="0" xfId="2" applyFont="1" applyAlignment="1">
      <alignment horizontal="left"/>
    </xf>
    <xf numFmtId="0" fontId="18" fillId="0" borderId="7" xfId="2" applyFont="1" applyBorder="1" applyAlignment="1">
      <alignment horizontal="center" vertical="center"/>
    </xf>
    <xf numFmtId="0" fontId="1" fillId="0" borderId="7" xfId="2" applyBorder="1" applyAlignment="1">
      <alignment horizontal="center" vertical="center"/>
    </xf>
    <xf numFmtId="0" fontId="1" fillId="0" borderId="22" xfId="2" applyBorder="1" applyAlignment="1">
      <alignment horizontal="center" vertical="center"/>
    </xf>
    <xf numFmtId="0" fontId="11" fillId="0" borderId="9" xfId="2" applyFont="1" applyBorder="1" applyAlignment="1">
      <alignment horizontal="center" vertical="center"/>
    </xf>
    <xf numFmtId="0" fontId="1" fillId="6" borderId="7" xfId="2" applyFill="1" applyBorder="1" applyAlignment="1" applyProtection="1">
      <alignment horizontal="center" vertical="center"/>
      <protection locked="0"/>
    </xf>
    <xf numFmtId="164" fontId="1" fillId="6" borderId="7" xfId="2" applyNumberFormat="1" applyFill="1" applyBorder="1" applyAlignment="1" applyProtection="1">
      <alignment horizontal="center" vertical="center"/>
      <protection locked="0"/>
    </xf>
    <xf numFmtId="2" fontId="1" fillId="6" borderId="7" xfId="2" applyNumberFormat="1" applyFill="1" applyBorder="1" applyAlignment="1" applyProtection="1">
      <alignment horizontal="center" vertical="center"/>
      <protection locked="0"/>
    </xf>
    <xf numFmtId="164" fontId="1" fillId="0" borderId="7" xfId="2" applyNumberFormat="1" applyBorder="1" applyAlignment="1">
      <alignment horizontal="center" vertical="center"/>
    </xf>
    <xf numFmtId="164" fontId="11" fillId="0" borderId="7" xfId="2" applyNumberFormat="1" applyFont="1" applyBorder="1" applyAlignment="1">
      <alignment horizontal="center" vertical="center"/>
    </xf>
    <xf numFmtId="1" fontId="1" fillId="0" borderId="7" xfId="2" applyNumberFormat="1" applyBorder="1" applyAlignment="1">
      <alignment horizontal="center" vertical="center"/>
    </xf>
    <xf numFmtId="164" fontId="1" fillId="7" borderId="7" xfId="2" applyNumberFormat="1" applyFill="1" applyBorder="1" applyAlignment="1" applyProtection="1">
      <alignment horizontal="center" vertical="center"/>
      <protection locked="0"/>
    </xf>
    <xf numFmtId="164" fontId="1" fillId="0" borderId="22" xfId="2" applyNumberFormat="1" applyBorder="1" applyAlignment="1">
      <alignment horizontal="center" vertical="center"/>
    </xf>
    <xf numFmtId="164" fontId="1" fillId="0" borderId="8" xfId="2" applyNumberFormat="1" applyBorder="1"/>
    <xf numFmtId="164" fontId="1" fillId="0" borderId="18" xfId="2" applyNumberFormat="1" applyBorder="1" applyAlignment="1">
      <alignment horizontal="center" vertical="center"/>
    </xf>
    <xf numFmtId="164" fontId="11" fillId="0" borderId="23" xfId="2" applyNumberFormat="1" applyFont="1" applyBorder="1" applyAlignment="1">
      <alignment horizontal="center"/>
    </xf>
    <xf numFmtId="164" fontId="1" fillId="0" borderId="19" xfId="2" applyNumberFormat="1" applyBorder="1" applyAlignment="1">
      <alignment horizontal="center" vertical="center"/>
    </xf>
    <xf numFmtId="164" fontId="1" fillId="0" borderId="23" xfId="2" applyNumberFormat="1" applyBorder="1"/>
    <xf numFmtId="1" fontId="19" fillId="0" borderId="9" xfId="2" applyNumberFormat="1" applyFont="1" applyBorder="1" applyAlignment="1" applyProtection="1">
      <alignment horizontal="center"/>
    </xf>
    <xf numFmtId="0" fontId="1" fillId="0" borderId="0" xfId="2" quotePrefix="1" applyAlignment="1">
      <alignment horizontal="left"/>
    </xf>
    <xf numFmtId="0" fontId="20" fillId="0" borderId="0" xfId="2" applyFont="1"/>
    <xf numFmtId="0" fontId="21" fillId="0" borderId="0" xfId="2" applyFont="1"/>
    <xf numFmtId="0" fontId="16" fillId="0" borderId="0" xfId="2" applyFont="1"/>
    <xf numFmtId="0" fontId="21" fillId="0" borderId="0" xfId="2" applyFont="1" applyAlignment="1">
      <alignment horizontal="center"/>
    </xf>
    <xf numFmtId="0" fontId="22" fillId="0" borderId="0" xfId="2" applyFont="1"/>
    <xf numFmtId="0" fontId="27" fillId="0" borderId="0" xfId="2" applyFont="1"/>
    <xf numFmtId="0" fontId="17" fillId="0" borderId="0" xfId="2" applyFont="1"/>
    <xf numFmtId="0" fontId="30" fillId="0" borderId="0" xfId="2" applyFont="1"/>
    <xf numFmtId="0" fontId="32" fillId="0" borderId="0" xfId="2" applyFont="1"/>
    <xf numFmtId="0" fontId="28" fillId="0" borderId="0" xfId="2" applyFont="1"/>
    <xf numFmtId="0" fontId="0" fillId="0" borderId="0" xfId="0" applyNumberFormat="1" applyFont="1" applyFill="1" applyBorder="1" applyAlignment="1" applyProtection="1"/>
    <xf numFmtId="49" fontId="0" fillId="0" borderId="0" xfId="0" applyNumberFormat="1" applyFont="1" applyFill="1" applyBorder="1" applyAlignment="1" applyProtection="1"/>
    <xf numFmtId="21" fontId="0" fillId="0" borderId="0" xfId="0" applyNumberFormat="1"/>
    <xf numFmtId="0" fontId="3" fillId="5" borderId="9" xfId="0" applyFont="1" applyFill="1" applyBorder="1"/>
    <xf numFmtId="14" fontId="0" fillId="0" borderId="7" xfId="0" applyNumberFormat="1" applyFont="1" applyFill="1" applyBorder="1" applyAlignment="1" applyProtection="1"/>
    <xf numFmtId="49" fontId="0" fillId="0" borderId="7" xfId="0" applyNumberFormat="1" applyFill="1" applyBorder="1" applyAlignment="1" applyProtection="1"/>
    <xf numFmtId="21" fontId="0" fillId="0" borderId="7" xfId="0" applyNumberFormat="1" applyBorder="1"/>
    <xf numFmtId="49" fontId="0" fillId="0" borderId="7" xfId="0" applyNumberFormat="1" applyFont="1" applyFill="1" applyBorder="1" applyAlignment="1" applyProtection="1"/>
    <xf numFmtId="0" fontId="3" fillId="0" borderId="7" xfId="1" applyFont="1" applyFill="1" applyBorder="1" applyAlignment="1" applyProtection="1">
      <alignment horizontal="center" vertical="center"/>
      <protection locked="0"/>
    </xf>
    <xf numFmtId="0" fontId="0" fillId="0" borderId="7" xfId="0" applyNumberFormat="1" applyFont="1" applyFill="1" applyBorder="1" applyAlignment="1" applyProtection="1"/>
    <xf numFmtId="0" fontId="6" fillId="3" borderId="7" xfId="0" applyFont="1" applyFill="1" applyBorder="1" applyAlignment="1">
      <alignment horizontal="center"/>
    </xf>
    <xf numFmtId="21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7" xfId="1" applyNumberFormat="1" applyFont="1" applyFill="1" applyBorder="1" applyAlignment="1" applyProtection="1">
      <alignment horizontal="center"/>
      <protection locked="0"/>
    </xf>
    <xf numFmtId="20" fontId="3" fillId="0" borderId="7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8" borderId="0" xfId="0" applyFill="1"/>
    <xf numFmtId="0" fontId="5" fillId="0" borderId="24" xfId="0" applyFont="1" applyFill="1" applyBorder="1" applyAlignment="1">
      <alignment horizontal="center"/>
    </xf>
    <xf numFmtId="0" fontId="5" fillId="0" borderId="25" xfId="0" applyFont="1" applyFill="1" applyBorder="1" applyAlignment="1">
      <alignment horizontal="center"/>
    </xf>
    <xf numFmtId="0" fontId="5" fillId="0" borderId="26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11" fillId="0" borderId="8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</cellXfs>
  <cellStyles count="4">
    <cellStyle name="Normal" xfId="0" builtinId="0"/>
    <cellStyle name="Normal_Feuil1" xfId="1"/>
    <cellStyle name="Normal_millau_cost323_pltrafic" xfId="2"/>
    <cellStyle name="Pourcentage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69FF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8.4487534626038599E-2"/>
          <c:y val="8.363636363636387E-2"/>
          <c:w val="0.87811634349030476"/>
          <c:h val="0.69090909090909192"/>
        </c:manualLayout>
      </c:layout>
      <c:barChart>
        <c:barDir val="col"/>
        <c:grouping val="clustered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Accuracy_trafic!$I$9:$I$12</c:f>
              <c:numCache>
                <c:formatCode>0.0</c:formatCode>
                <c:ptCount val="4"/>
                <c:pt idx="0">
                  <c:v>7.1</c:v>
                </c:pt>
                <c:pt idx="1">
                  <c:v>10</c:v>
                </c:pt>
                <c:pt idx="2">
                  <c:v>15.1</c:v>
                </c:pt>
                <c:pt idx="3">
                  <c:v>14.1</c:v>
                </c:pt>
              </c:numCache>
            </c:numRef>
          </c:val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Accuracy_trafic!$J$9:$J$12</c:f>
              <c:numCache>
                <c:formatCode>0.0</c:formatCode>
                <c:ptCount val="4"/>
                <c:pt idx="0">
                  <c:v>7.1</c:v>
                </c:pt>
                <c:pt idx="1">
                  <c:v>7</c:v>
                </c:pt>
                <c:pt idx="2">
                  <c:v>10.1</c:v>
                </c:pt>
                <c:pt idx="3">
                  <c:v>7.05</c:v>
                </c:pt>
              </c:numCache>
            </c:numRef>
          </c:val>
        </c:ser>
        <c:axId val="87855104"/>
        <c:axId val="87857024"/>
      </c:barChart>
      <c:catAx>
        <c:axId val="87855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57024"/>
        <c:crosses val="autoZero"/>
        <c:auto val="1"/>
        <c:lblAlgn val="ctr"/>
        <c:lblOffset val="100"/>
        <c:tickLblSkip val="1"/>
        <c:tickMarkSkip val="1"/>
      </c:catAx>
      <c:valAx>
        <c:axId val="8785702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46E-3"/>
              <c:y val="0.38909090909090976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55104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3"/>
          <c:h val="0.1781818181818181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39" footer="0.49212598450000039"/>
    <c:pageSetup paperSize="9" orientation="landscape" horizontalDpi="300" verticalDpi="30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9.4313517408491199E-2"/>
          <c:y val="7.2727272727272724E-2"/>
          <c:w val="0.87656092650244788"/>
          <c:h val="0.69454545454545547"/>
        </c:manualLayout>
      </c:layout>
      <c:barChart>
        <c:barDir val="col"/>
        <c:grouping val="clustered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Accuracy_calibration!$I$9:$I$12</c:f>
              <c:numCache>
                <c:formatCode>0.0</c:formatCode>
                <c:ptCount val="4"/>
                <c:pt idx="0">
                  <c:v>13.001896482635313</c:v>
                </c:pt>
                <c:pt idx="1">
                  <c:v>16.798173752804345</c:v>
                </c:pt>
                <c:pt idx="2">
                  <c:v>22.461177711460753</c:v>
                </c:pt>
                <c:pt idx="3">
                  <c:v>25.007043637314126</c:v>
                </c:pt>
              </c:numCache>
            </c:numRef>
          </c:val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Accuracy_calibration!$J$9:$J$12</c:f>
              <c:numCache>
                <c:formatCode>0.0</c:formatCode>
                <c:ptCount val="4"/>
                <c:pt idx="0">
                  <c:v>13.001896482635313</c:v>
                </c:pt>
                <c:pt idx="1">
                  <c:v>13.798173752804345</c:v>
                </c:pt>
                <c:pt idx="2">
                  <c:v>17.461177711460753</c:v>
                </c:pt>
                <c:pt idx="3">
                  <c:v>15.007043637314126</c:v>
                </c:pt>
              </c:numCache>
            </c:numRef>
          </c:val>
        </c:ser>
        <c:axId val="87833216"/>
        <c:axId val="87888640"/>
      </c:barChart>
      <c:catAx>
        <c:axId val="87833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8266329497286742"/>
              <c:y val="0.8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88640"/>
        <c:crosses val="autoZero"/>
        <c:auto val="1"/>
        <c:lblAlgn val="ctr"/>
        <c:lblOffset val="100"/>
        <c:tickLblSkip val="1"/>
        <c:tickMarkSkip val="1"/>
      </c:catAx>
      <c:valAx>
        <c:axId val="8788864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348174565067077E-3"/>
              <c:y val="0.37818181818181862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7833216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205278723451812"/>
          <c:y val="0.10181818181818182"/>
          <c:w val="0.1234397507258196"/>
          <c:h val="0.1781818181818181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39" footer="0.49212598450000039"/>
    <c:pageSetup paperSize="9" orientation="landscape" horizontalDpi="300" verticalDpi="30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8.4487534626038571E-2"/>
          <c:y val="8.3636363636363967E-2"/>
          <c:w val="0.87811634349030476"/>
          <c:h val="0.69090909090909214"/>
        </c:manualLayout>
      </c:layout>
      <c:barChart>
        <c:barDir val="col"/>
        <c:grouping val="clustered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Accuracy_trafic!$I$9:$I$12</c:f>
              <c:numCache>
                <c:formatCode>0.0</c:formatCode>
                <c:ptCount val="4"/>
                <c:pt idx="0">
                  <c:v>7.1</c:v>
                </c:pt>
                <c:pt idx="1">
                  <c:v>10</c:v>
                </c:pt>
                <c:pt idx="2">
                  <c:v>15.1</c:v>
                </c:pt>
                <c:pt idx="3">
                  <c:v>14.1</c:v>
                </c:pt>
              </c:numCache>
            </c:numRef>
          </c:val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Accuracy_trafic!$A$9:$A$12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Accuracy_trafic!$J$9:$J$12</c:f>
              <c:numCache>
                <c:formatCode>0.0</c:formatCode>
                <c:ptCount val="4"/>
                <c:pt idx="0">
                  <c:v>7.1</c:v>
                </c:pt>
                <c:pt idx="1">
                  <c:v>7</c:v>
                </c:pt>
                <c:pt idx="2">
                  <c:v>10.1</c:v>
                </c:pt>
                <c:pt idx="3">
                  <c:v>7.05</c:v>
                </c:pt>
              </c:numCache>
            </c:numRef>
          </c:val>
        </c:ser>
        <c:axId val="136279168"/>
        <c:axId val="136281088"/>
      </c:barChart>
      <c:catAx>
        <c:axId val="136279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6281088"/>
        <c:crosses val="autoZero"/>
        <c:auto val="1"/>
        <c:lblAlgn val="ctr"/>
        <c:lblOffset val="100"/>
        <c:tickLblSkip val="1"/>
        <c:tickMarkSkip val="1"/>
      </c:catAx>
      <c:valAx>
        <c:axId val="1362810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72E-3"/>
              <c:y val="0.38909090909090993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6279168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6"/>
          <c:h val="0.1781818181818181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5" footer="0.4921259845000005"/>
    <c:pageSetup paperSize="9" orientation="landscape" horizontalDpi="300" verticalDpi="300" copies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AY179"/>
  <sheetViews>
    <sheetView workbookViewId="0">
      <selection activeCell="R12" sqref="R12"/>
    </sheetView>
  </sheetViews>
  <sheetFormatPr baseColWidth="10" defaultColWidth="11.5703125" defaultRowHeight="11.25"/>
  <cols>
    <col min="1" max="1" width="9.85546875" style="1" customWidth="1"/>
    <col min="2" max="2" width="12" style="2" customWidth="1"/>
    <col min="3" max="3" width="13.85546875" style="2" customWidth="1"/>
    <col min="4" max="4" width="7.140625" style="2" customWidth="1"/>
    <col min="5" max="5" width="4.140625" style="2" customWidth="1"/>
    <col min="6" max="6" width="3.140625" style="2" customWidth="1"/>
    <col min="7" max="7" width="4" style="1" bestFit="1" customWidth="1"/>
    <col min="8" max="8" width="4.85546875" style="1" bestFit="1" customWidth="1"/>
    <col min="9" max="9" width="9.7109375" style="1" customWidth="1"/>
    <col min="10" max="10" width="4.140625" style="1" bestFit="1" customWidth="1"/>
    <col min="11" max="12" width="2.5703125" style="1" customWidth="1"/>
    <col min="13" max="14" width="3" style="1" customWidth="1"/>
    <col min="15" max="15" width="3.7109375" style="1" customWidth="1"/>
    <col min="16" max="16" width="3.42578125" style="1" customWidth="1"/>
    <col min="17" max="17" width="4.42578125" style="1" customWidth="1"/>
    <col min="18" max="18" width="5.28515625" style="1" customWidth="1"/>
    <col min="19" max="19" width="6.140625" style="1" bestFit="1" customWidth="1"/>
    <col min="20" max="20" width="5" style="1" customWidth="1"/>
    <col min="21" max="21" width="5.140625" style="1" customWidth="1"/>
    <col min="22" max="22" width="4.42578125" style="1" customWidth="1"/>
    <col min="23" max="23" width="4.7109375" style="1" customWidth="1"/>
    <col min="24" max="24" width="4.42578125" style="1" customWidth="1"/>
    <col min="25" max="25" width="5.7109375" style="1" customWidth="1"/>
    <col min="26" max="26" width="6" style="1" customWidth="1"/>
    <col min="27" max="27" width="5.7109375" style="1" customWidth="1"/>
    <col min="28" max="28" width="4.7109375" style="1" customWidth="1"/>
    <col min="29" max="29" width="5.42578125" style="1" customWidth="1"/>
    <col min="30" max="30" width="4.7109375" style="1" customWidth="1"/>
    <col min="31" max="31" width="5.140625" style="1" customWidth="1"/>
    <col min="32" max="33" width="4.7109375" style="1" customWidth="1"/>
    <col min="34" max="35" width="6.140625" style="1" customWidth="1"/>
    <col min="36" max="36" width="8.140625" style="1" customWidth="1"/>
    <col min="37" max="37" width="7.7109375" style="1" customWidth="1"/>
    <col min="38" max="39" width="8.140625" style="1" customWidth="1"/>
    <col min="40" max="40" width="7.28515625" style="1" customWidth="1"/>
    <col min="41" max="41" width="7.140625" style="1" bestFit="1" customWidth="1"/>
    <col min="42" max="42" width="6.7109375" style="2" customWidth="1"/>
    <col min="43" max="43" width="8.5703125" style="2" customWidth="1"/>
    <col min="44" max="44" width="8" style="2" customWidth="1"/>
    <col min="45" max="16384" width="11.5703125" style="2"/>
  </cols>
  <sheetData>
    <row r="2" spans="1:51" ht="15">
      <c r="R2" s="3"/>
    </row>
    <row r="3" spans="1:51">
      <c r="B3" s="4" t="s">
        <v>0</v>
      </c>
      <c r="C3" s="5"/>
      <c r="D3" s="6"/>
      <c r="E3" s="7" t="s">
        <v>105</v>
      </c>
      <c r="F3" s="7"/>
      <c r="R3" s="8"/>
      <c r="W3" s="9"/>
      <c r="AG3" s="31" t="s">
        <v>1</v>
      </c>
      <c r="AH3" s="31"/>
      <c r="AI3" s="31"/>
      <c r="AJ3" s="31"/>
      <c r="AK3" s="31"/>
      <c r="AL3" s="31"/>
      <c r="AM3" s="3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12.75" customHeight="1">
      <c r="B4" s="4" t="s">
        <v>2</v>
      </c>
      <c r="C4" s="5"/>
      <c r="D4" s="6"/>
      <c r="E4" s="7" t="s">
        <v>106</v>
      </c>
      <c r="F4" s="7"/>
      <c r="AG4" s="32" t="s">
        <v>3</v>
      </c>
      <c r="AH4" s="32"/>
      <c r="AI4" s="32"/>
      <c r="AJ4" s="30" t="s">
        <v>4</v>
      </c>
      <c r="AK4" s="30" t="s">
        <v>5</v>
      </c>
      <c r="AL4" s="30" t="s">
        <v>6</v>
      </c>
      <c r="AM4" s="30" t="s">
        <v>7</v>
      </c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12.75" customHeight="1">
      <c r="B5" s="4" t="s">
        <v>8</v>
      </c>
      <c r="C5" s="5"/>
      <c r="D5" s="6"/>
      <c r="E5" s="7" t="s">
        <v>104</v>
      </c>
      <c r="F5" s="7"/>
      <c r="AG5" s="31" t="s">
        <v>9</v>
      </c>
      <c r="AH5" s="31"/>
      <c r="AI5" s="31"/>
      <c r="AJ5" s="30">
        <f>COUNT(AJ12:AJ65536)</f>
        <v>15</v>
      </c>
      <c r="AK5" s="30">
        <f>COUNT(AK12:AL65536)</f>
        <v>30</v>
      </c>
      <c r="AL5" s="30">
        <f>COUNT(AM12:AO65536)</f>
        <v>45</v>
      </c>
      <c r="AM5" s="30">
        <f>COUNT(AQ12:AQ65536)</f>
        <v>15</v>
      </c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12.75" customHeight="1">
      <c r="B6" s="4" t="s">
        <v>10</v>
      </c>
      <c r="C6" s="5"/>
      <c r="D6" s="6"/>
      <c r="E6" s="7">
        <v>15</v>
      </c>
      <c r="F6" s="7"/>
      <c r="AG6" s="33" t="s">
        <v>11</v>
      </c>
      <c r="AH6" s="33"/>
      <c r="AI6" s="33"/>
      <c r="AJ6" s="34">
        <f>AVERAGE(AJ12:AJ65536)</f>
        <v>1.3816829965302199E-2</v>
      </c>
      <c r="AK6" s="35">
        <f>AVERAGE(AK12:AL65536)</f>
        <v>6.0034897761168876E-3</v>
      </c>
      <c r="AL6" s="35">
        <f>AVERAGE(AM12:AP65536)</f>
        <v>2.7311254577022707E-2</v>
      </c>
      <c r="AM6" s="35">
        <f>AVERAGE(AQ12:AQ65536)</f>
        <v>2.2735315184382036E-2</v>
      </c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ht="12.75" customHeight="1">
      <c r="B7" s="4"/>
      <c r="C7" s="5"/>
      <c r="D7" s="5"/>
      <c r="E7" s="10"/>
      <c r="F7" s="10"/>
      <c r="AG7" s="33" t="s">
        <v>12</v>
      </c>
      <c r="AH7" s="33"/>
      <c r="AI7" s="33"/>
      <c r="AJ7" s="34">
        <f>STDEV(AJ12:AJ65536)</f>
        <v>3.428436317726094E-2</v>
      </c>
      <c r="AK7" s="35">
        <f>STDEV(AK12:AL65536)</f>
        <v>7.4623056120782308E-2</v>
      </c>
      <c r="AL7" s="35">
        <f>STDEV(AM12:AP65536)</f>
        <v>5.8304098734190547E-2</v>
      </c>
      <c r="AM7" s="35">
        <f>STDEV(AQ12:AQ65536)</f>
        <v>3.9770193607518892E-2</v>
      </c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ht="12.75" customHeight="1">
      <c r="B8" s="4"/>
      <c r="C8" s="5"/>
      <c r="D8" s="5"/>
      <c r="E8" s="10"/>
      <c r="F8" s="10"/>
      <c r="AG8" s="11"/>
      <c r="AH8" s="11"/>
      <c r="AI8" s="11"/>
      <c r="AJ8" s="12"/>
      <c r="AK8" s="13"/>
      <c r="AL8" s="13"/>
      <c r="AM8" s="12"/>
      <c r="AP8" s="1"/>
      <c r="AQ8" s="1"/>
      <c r="AR8" s="1"/>
      <c r="AS8" s="67"/>
      <c r="AT8" s="67"/>
      <c r="AU8" s="67"/>
      <c r="AV8" s="1"/>
      <c r="AW8" s="1"/>
      <c r="AX8" s="1"/>
      <c r="AY8" s="1"/>
    </row>
    <row r="9" spans="1:51" ht="12.75" customHeight="1">
      <c r="B9" s="1"/>
      <c r="C9" s="1"/>
      <c r="D9" s="1"/>
      <c r="E9" s="1"/>
      <c r="F9" s="1"/>
      <c r="AS9" s="37"/>
      <c r="AT9" s="37"/>
      <c r="AU9" s="37"/>
    </row>
    <row r="10" spans="1:51" ht="12.75" customHeight="1">
      <c r="A10" s="14" t="s">
        <v>13</v>
      </c>
      <c r="B10" s="15" t="s">
        <v>14</v>
      </c>
      <c r="C10" s="15" t="s">
        <v>15</v>
      </c>
      <c r="D10" s="16" t="s">
        <v>15</v>
      </c>
      <c r="E10" s="16" t="s">
        <v>16</v>
      </c>
      <c r="F10" s="16" t="s">
        <v>17</v>
      </c>
      <c r="G10" s="16" t="s">
        <v>18</v>
      </c>
      <c r="H10" s="16" t="s">
        <v>19</v>
      </c>
      <c r="I10" s="162" t="s">
        <v>20</v>
      </c>
      <c r="J10" s="163"/>
      <c r="K10" s="164" t="s">
        <v>21</v>
      </c>
      <c r="L10" s="165"/>
      <c r="M10" s="165"/>
      <c r="N10" s="165"/>
      <c r="O10" s="165"/>
      <c r="P10" s="165"/>
      <c r="Q10" s="166"/>
      <c r="R10" s="157" t="s">
        <v>43</v>
      </c>
      <c r="S10" s="158"/>
      <c r="T10" s="158"/>
      <c r="U10" s="158"/>
      <c r="V10" s="158"/>
      <c r="W10" s="158"/>
      <c r="X10" s="158"/>
      <c r="Y10" s="158"/>
      <c r="Z10" s="159"/>
      <c r="AA10" s="157" t="s">
        <v>42</v>
      </c>
      <c r="AB10" s="158"/>
      <c r="AC10" s="158"/>
      <c r="AD10" s="158"/>
      <c r="AE10" s="158"/>
      <c r="AF10" s="158"/>
      <c r="AG10" s="158"/>
      <c r="AH10" s="158"/>
      <c r="AI10" s="159"/>
      <c r="AJ10" s="157" t="s">
        <v>22</v>
      </c>
      <c r="AK10" s="158"/>
      <c r="AL10" s="158"/>
      <c r="AM10" s="158"/>
      <c r="AN10" s="158"/>
      <c r="AO10" s="158"/>
      <c r="AP10" s="158"/>
      <c r="AQ10" s="158"/>
      <c r="AR10" s="159"/>
      <c r="AS10" s="160"/>
      <c r="AT10" s="160"/>
      <c r="AU10" s="37"/>
    </row>
    <row r="11" spans="1:51" ht="12.75" customHeight="1">
      <c r="A11" s="49" t="s">
        <v>23</v>
      </c>
      <c r="B11" s="50" t="s">
        <v>24</v>
      </c>
      <c r="C11" s="50" t="s">
        <v>108</v>
      </c>
      <c r="D11" s="50" t="s">
        <v>109</v>
      </c>
      <c r="E11" s="50"/>
      <c r="F11" s="50"/>
      <c r="G11" s="50"/>
      <c r="H11" s="50"/>
      <c r="I11" s="50" t="s">
        <v>25</v>
      </c>
      <c r="J11" s="51" t="s">
        <v>26</v>
      </c>
      <c r="K11" s="52" t="s">
        <v>27</v>
      </c>
      <c r="L11" s="15" t="s">
        <v>28</v>
      </c>
      <c r="M11" s="15" t="s">
        <v>29</v>
      </c>
      <c r="N11" s="15" t="s">
        <v>30</v>
      </c>
      <c r="O11" s="15" t="s">
        <v>31</v>
      </c>
      <c r="P11" s="15" t="s">
        <v>32</v>
      </c>
      <c r="Q11" s="53" t="s">
        <v>33</v>
      </c>
      <c r="R11" s="52" t="s">
        <v>4</v>
      </c>
      <c r="S11" s="15" t="s">
        <v>34</v>
      </c>
      <c r="T11" s="15" t="s">
        <v>35</v>
      </c>
      <c r="U11" s="15" t="s">
        <v>36</v>
      </c>
      <c r="V11" s="15" t="s">
        <v>37</v>
      </c>
      <c r="W11" s="15" t="s">
        <v>38</v>
      </c>
      <c r="X11" s="15" t="s">
        <v>39</v>
      </c>
      <c r="Y11" s="16" t="s">
        <v>40</v>
      </c>
      <c r="Z11" s="53" t="s">
        <v>41</v>
      </c>
      <c r="AA11" s="52" t="s">
        <v>4</v>
      </c>
      <c r="AB11" s="15" t="s">
        <v>34</v>
      </c>
      <c r="AC11" s="15" t="s">
        <v>35</v>
      </c>
      <c r="AD11" s="15" t="s">
        <v>36</v>
      </c>
      <c r="AE11" s="15" t="s">
        <v>37</v>
      </c>
      <c r="AF11" s="15" t="s">
        <v>38</v>
      </c>
      <c r="AG11" s="15" t="s">
        <v>39</v>
      </c>
      <c r="AH11" s="16" t="s">
        <v>40</v>
      </c>
      <c r="AI11" s="53" t="s">
        <v>41</v>
      </c>
      <c r="AJ11" s="52" t="s">
        <v>4</v>
      </c>
      <c r="AK11" s="15" t="s">
        <v>34</v>
      </c>
      <c r="AL11" s="15" t="s">
        <v>35</v>
      </c>
      <c r="AM11" s="15" t="s">
        <v>36</v>
      </c>
      <c r="AN11" s="15" t="s">
        <v>37</v>
      </c>
      <c r="AO11" s="15" t="s">
        <v>38</v>
      </c>
      <c r="AP11" s="15" t="s">
        <v>39</v>
      </c>
      <c r="AQ11" s="16" t="s">
        <v>40</v>
      </c>
      <c r="AR11" s="53" t="s">
        <v>41</v>
      </c>
      <c r="AS11" s="161"/>
      <c r="AT11" s="161"/>
      <c r="AU11" s="37"/>
    </row>
    <row r="12" spans="1:51" s="17" customFormat="1" ht="12.75">
      <c r="A12" s="145">
        <v>42278</v>
      </c>
      <c r="B12" s="146" t="s">
        <v>107</v>
      </c>
      <c r="C12" s="147">
        <v>0.40686342592592589</v>
      </c>
      <c r="D12" s="22"/>
      <c r="E12" s="28"/>
      <c r="F12" s="22"/>
      <c r="G12" s="22"/>
      <c r="H12" s="77"/>
      <c r="I12" s="146" t="s">
        <v>103</v>
      </c>
      <c r="J12" s="39"/>
      <c r="K12" s="77">
        <v>0</v>
      </c>
      <c r="L12" s="77">
        <v>0</v>
      </c>
      <c r="M12" s="77">
        <v>1</v>
      </c>
      <c r="N12" s="77">
        <v>1</v>
      </c>
      <c r="O12" s="77">
        <v>1</v>
      </c>
      <c r="P12" s="149"/>
      <c r="Q12" s="29">
        <v>5</v>
      </c>
      <c r="R12" s="82">
        <f>SUM(S12:X12)</f>
        <v>43.15</v>
      </c>
      <c r="S12" s="28">
        <v>7.35</v>
      </c>
      <c r="T12" s="28">
        <v>11.25</v>
      </c>
      <c r="U12" s="28">
        <v>8.1999999999999993</v>
      </c>
      <c r="V12" s="28">
        <v>8.1</v>
      </c>
      <c r="W12" s="28">
        <v>8.25</v>
      </c>
      <c r="X12" s="23"/>
      <c r="Y12" s="41">
        <f>SUM(U12:W12)</f>
        <v>24.549999999999997</v>
      </c>
      <c r="Z12" s="41"/>
      <c r="AA12" s="40">
        <v>42.9</v>
      </c>
      <c r="AB12" s="28">
        <v>7.4</v>
      </c>
      <c r="AC12" s="28">
        <v>10.6</v>
      </c>
      <c r="AD12" s="28">
        <v>8.3000000000000007</v>
      </c>
      <c r="AE12" s="28">
        <v>8.3000000000000007</v>
      </c>
      <c r="AF12" s="28">
        <v>8.3000000000000007</v>
      </c>
      <c r="AG12" s="24"/>
      <c r="AH12" s="41">
        <f>SUM(AD12:AF12)</f>
        <v>24.900000000000002</v>
      </c>
      <c r="AI12" s="41"/>
      <c r="AJ12" s="42">
        <f>IF(R12&gt;0,(AA12-R12)/R12,"")</f>
        <v>-5.7937427578215531E-3</v>
      </c>
      <c r="AK12" s="42">
        <f t="shared" ref="AK12:AR27" si="0">IF(S12&gt;0,(AB12-S12)/S12,"")</f>
        <v>6.802721088435471E-3</v>
      </c>
      <c r="AL12" s="42">
        <f t="shared" si="0"/>
        <v>-5.777777777777781E-2</v>
      </c>
      <c r="AM12" s="42">
        <f t="shared" si="0"/>
        <v>1.2195121951219686E-2</v>
      </c>
      <c r="AN12" s="42">
        <f t="shared" si="0"/>
        <v>2.4691358024691492E-2</v>
      </c>
      <c r="AO12" s="42">
        <f t="shared" si="0"/>
        <v>6.0606060606061465E-3</v>
      </c>
      <c r="AP12" s="42" t="str">
        <f t="shared" si="0"/>
        <v/>
      </c>
      <c r="AQ12" s="42">
        <f>IF(Y12&gt;0,(AH12-Y12)/Y12,"")</f>
        <v>1.4256619144603055E-2</v>
      </c>
      <c r="AR12" s="42" t="str">
        <f t="shared" si="0"/>
        <v/>
      </c>
      <c r="AS12" s="5"/>
      <c r="AT12" s="5"/>
      <c r="AU12" s="5"/>
    </row>
    <row r="13" spans="1:51" s="17" customFormat="1" ht="12.75">
      <c r="A13" s="145">
        <v>42278</v>
      </c>
      <c r="B13" s="146" t="s">
        <v>110</v>
      </c>
      <c r="C13" s="147">
        <v>0.4136111111111111</v>
      </c>
      <c r="D13" s="22"/>
      <c r="E13" s="28"/>
      <c r="F13" s="22"/>
      <c r="G13" s="22"/>
      <c r="H13" s="77"/>
      <c r="I13" s="146" t="s">
        <v>103</v>
      </c>
      <c r="J13" s="39"/>
      <c r="K13" s="77">
        <v>0</v>
      </c>
      <c r="L13" s="77">
        <v>0</v>
      </c>
      <c r="M13" s="77">
        <v>1</v>
      </c>
      <c r="N13" s="77">
        <v>1</v>
      </c>
      <c r="O13" s="77">
        <v>1</v>
      </c>
      <c r="P13" s="149"/>
      <c r="Q13" s="29">
        <v>5</v>
      </c>
      <c r="R13" s="82">
        <f t="shared" ref="R13:R26" si="1">SUM(S13:X13)</f>
        <v>40.299999999999997</v>
      </c>
      <c r="S13" s="28">
        <v>7.65</v>
      </c>
      <c r="T13" s="28">
        <v>14.1</v>
      </c>
      <c r="U13" s="28">
        <v>6.05</v>
      </c>
      <c r="V13" s="28">
        <v>6.2</v>
      </c>
      <c r="W13" s="28">
        <v>6.3</v>
      </c>
      <c r="X13" s="23"/>
      <c r="Y13" s="41">
        <f>SUM(U13:W13)</f>
        <v>18.55</v>
      </c>
      <c r="Z13" s="41"/>
      <c r="AA13" s="40">
        <v>38.700000000000003</v>
      </c>
      <c r="AB13" s="28">
        <v>7.6</v>
      </c>
      <c r="AC13" s="28">
        <v>13.7</v>
      </c>
      <c r="AD13" s="28">
        <v>5.8</v>
      </c>
      <c r="AE13" s="28">
        <v>5.8</v>
      </c>
      <c r="AF13" s="28">
        <v>5.8</v>
      </c>
      <c r="AG13" s="24"/>
      <c r="AH13" s="41">
        <f>SUM(AD13:AF13)</f>
        <v>17.399999999999999</v>
      </c>
      <c r="AI13" s="41"/>
      <c r="AJ13" s="42">
        <f t="shared" ref="AJ13:AJ27" si="2">IF(R13&gt;0,(AA13-R13)/R13,"")</f>
        <v>-3.9702233250620209E-2</v>
      </c>
      <c r="AK13" s="42">
        <f>IF(S13&gt;0,(AB13-S13)/S13,"")</f>
        <v>-6.5359477124183937E-3</v>
      </c>
      <c r="AL13" s="42">
        <f t="shared" si="0"/>
        <v>-2.8368794326241162E-2</v>
      </c>
      <c r="AM13" s="42">
        <f t="shared" si="0"/>
        <v>-4.1322314049586778E-2</v>
      </c>
      <c r="AN13" s="42">
        <f t="shared" si="0"/>
        <v>-6.4516129032258118E-2</v>
      </c>
      <c r="AO13" s="42">
        <f t="shared" si="0"/>
        <v>-7.9365079365079361E-2</v>
      </c>
      <c r="AP13" s="42" t="str">
        <f t="shared" si="0"/>
        <v/>
      </c>
      <c r="AQ13" s="42">
        <f t="shared" si="0"/>
        <v>-6.1994609164420594E-2</v>
      </c>
      <c r="AR13" s="42" t="str">
        <f t="shared" si="0"/>
        <v/>
      </c>
      <c r="AS13" s="5"/>
      <c r="AT13" s="5"/>
      <c r="AU13" s="5"/>
    </row>
    <row r="14" spans="1:51" s="17" customFormat="1" ht="12.75">
      <c r="A14" s="145">
        <v>42278</v>
      </c>
      <c r="B14" s="146" t="s">
        <v>111</v>
      </c>
      <c r="C14" s="147">
        <v>0.43234953703703699</v>
      </c>
      <c r="D14" s="22"/>
      <c r="E14" s="28"/>
      <c r="F14" s="22"/>
      <c r="G14" s="22"/>
      <c r="H14" s="77"/>
      <c r="I14" s="146" t="s">
        <v>112</v>
      </c>
      <c r="J14" s="39"/>
      <c r="K14" s="77">
        <v>0</v>
      </c>
      <c r="L14" s="77">
        <v>0</v>
      </c>
      <c r="M14" s="77">
        <v>1</v>
      </c>
      <c r="N14" s="77">
        <v>1</v>
      </c>
      <c r="O14" s="77">
        <v>1</v>
      </c>
      <c r="P14" s="149"/>
      <c r="Q14" s="29">
        <v>5</v>
      </c>
      <c r="R14" s="82">
        <f t="shared" si="1"/>
        <v>44.35</v>
      </c>
      <c r="S14" s="28">
        <v>7.4</v>
      </c>
      <c r="T14" s="28">
        <v>11.6</v>
      </c>
      <c r="U14" s="28">
        <v>8.35</v>
      </c>
      <c r="V14" s="28">
        <v>8.5</v>
      </c>
      <c r="W14" s="28">
        <v>8.5</v>
      </c>
      <c r="X14" s="23"/>
      <c r="Y14" s="41">
        <f>SUM(U14:W14)</f>
        <v>25.35</v>
      </c>
      <c r="Z14" s="41"/>
      <c r="AA14" s="40">
        <v>43.1</v>
      </c>
      <c r="AB14" s="28">
        <v>6.7</v>
      </c>
      <c r="AC14" s="28">
        <v>11.2</v>
      </c>
      <c r="AD14" s="28">
        <v>8.4</v>
      </c>
      <c r="AE14" s="28">
        <v>8.4</v>
      </c>
      <c r="AF14" s="28">
        <v>8.4</v>
      </c>
      <c r="AG14" s="24"/>
      <c r="AH14" s="41">
        <f>SUM(AD14:AF14)</f>
        <v>25.200000000000003</v>
      </c>
      <c r="AI14" s="41"/>
      <c r="AJ14" s="42">
        <f t="shared" si="2"/>
        <v>-2.8184892897406989E-2</v>
      </c>
      <c r="AK14" s="42">
        <f t="shared" si="0"/>
        <v>-9.4594594594594614E-2</v>
      </c>
      <c r="AL14" s="42">
        <f t="shared" si="0"/>
        <v>-3.4482758620689689E-2</v>
      </c>
      <c r="AM14" s="42">
        <f t="shared" si="0"/>
        <v>5.9880239520958937E-3</v>
      </c>
      <c r="AN14" s="42">
        <f t="shared" si="0"/>
        <v>-1.1764705882352899E-2</v>
      </c>
      <c r="AO14" s="42">
        <f t="shared" si="0"/>
        <v>-1.1764705882352899E-2</v>
      </c>
      <c r="AP14" s="42" t="str">
        <f t="shared" si="0"/>
        <v/>
      </c>
      <c r="AQ14" s="42">
        <f t="shared" si="0"/>
        <v>-5.917159763313553E-3</v>
      </c>
      <c r="AR14" s="42" t="str">
        <f t="shared" si="0"/>
        <v/>
      </c>
      <c r="AS14" s="5"/>
      <c r="AT14" s="5"/>
      <c r="AU14" s="5"/>
    </row>
    <row r="15" spans="1:51" s="17" customFormat="1" ht="12.75">
      <c r="A15" s="145">
        <v>42278</v>
      </c>
      <c r="B15" s="146" t="s">
        <v>113</v>
      </c>
      <c r="C15" s="147">
        <v>0.44146990740740738</v>
      </c>
      <c r="D15" s="22"/>
      <c r="E15" s="28"/>
      <c r="F15" s="22"/>
      <c r="G15" s="22"/>
      <c r="H15" s="77"/>
      <c r="I15" s="146" t="s">
        <v>103</v>
      </c>
      <c r="J15" s="39"/>
      <c r="K15" s="77">
        <v>0</v>
      </c>
      <c r="L15" s="77">
        <v>0</v>
      </c>
      <c r="M15" s="77">
        <v>1</v>
      </c>
      <c r="N15" s="77">
        <v>1</v>
      </c>
      <c r="O15" s="77">
        <v>1</v>
      </c>
      <c r="P15" s="149"/>
      <c r="Q15" s="29">
        <v>5</v>
      </c>
      <c r="R15" s="82">
        <f t="shared" si="1"/>
        <v>43.25</v>
      </c>
      <c r="S15" s="28">
        <v>7.6</v>
      </c>
      <c r="T15" s="28">
        <v>12.35</v>
      </c>
      <c r="U15" s="28">
        <v>7.8</v>
      </c>
      <c r="V15" s="28">
        <v>7.7</v>
      </c>
      <c r="W15" s="28">
        <v>7.8</v>
      </c>
      <c r="X15" s="23"/>
      <c r="Y15" s="41">
        <f t="shared" ref="Y15:Y24" si="3">SUM(U15:W15)</f>
        <v>23.3</v>
      </c>
      <c r="Z15" s="41"/>
      <c r="AA15" s="40">
        <v>43.5</v>
      </c>
      <c r="AB15" s="28">
        <v>7.9</v>
      </c>
      <c r="AC15" s="28">
        <v>11.9</v>
      </c>
      <c r="AD15" s="28">
        <v>7.9</v>
      </c>
      <c r="AE15" s="28">
        <v>7.9</v>
      </c>
      <c r="AF15" s="28">
        <v>7.9</v>
      </c>
      <c r="AG15" s="24"/>
      <c r="AH15" s="41">
        <f t="shared" ref="AH15:AH24" si="4">SUM(AD15:AF15)</f>
        <v>23.700000000000003</v>
      </c>
      <c r="AI15" s="41"/>
      <c r="AJ15" s="42">
        <f t="shared" si="2"/>
        <v>5.7803468208092483E-3</v>
      </c>
      <c r="AK15" s="42">
        <f t="shared" si="0"/>
        <v>3.9473684210526411E-2</v>
      </c>
      <c r="AL15" s="42">
        <f t="shared" si="0"/>
        <v>-3.6437246963562694E-2</v>
      </c>
      <c r="AM15" s="42">
        <f t="shared" si="0"/>
        <v>1.2820512820512889E-2</v>
      </c>
      <c r="AN15" s="42">
        <f t="shared" si="0"/>
        <v>2.5974025974025997E-2</v>
      </c>
      <c r="AO15" s="42">
        <f t="shared" si="0"/>
        <v>1.2820512820512889E-2</v>
      </c>
      <c r="AP15" s="42" t="str">
        <f t="shared" si="0"/>
        <v/>
      </c>
      <c r="AQ15" s="42">
        <f t="shared" si="0"/>
        <v>1.7167381974249017E-2</v>
      </c>
      <c r="AR15" s="42" t="str">
        <f t="shared" si="0"/>
        <v/>
      </c>
    </row>
    <row r="16" spans="1:51" s="17" customFormat="1" ht="12.75">
      <c r="A16" s="145">
        <v>42278</v>
      </c>
      <c r="B16" s="146" t="s">
        <v>114</v>
      </c>
      <c r="C16" s="147">
        <v>0.45809027777777778</v>
      </c>
      <c r="D16" s="22"/>
      <c r="E16" s="28"/>
      <c r="F16" s="22"/>
      <c r="G16" s="22"/>
      <c r="H16" s="77"/>
      <c r="I16" s="146" t="s">
        <v>103</v>
      </c>
      <c r="J16" s="39"/>
      <c r="K16" s="77">
        <v>0</v>
      </c>
      <c r="L16" s="77">
        <v>0</v>
      </c>
      <c r="M16" s="77">
        <v>1</v>
      </c>
      <c r="N16" s="77">
        <v>1</v>
      </c>
      <c r="O16" s="77">
        <v>1</v>
      </c>
      <c r="P16" s="149"/>
      <c r="Q16" s="29">
        <v>5</v>
      </c>
      <c r="R16" s="82">
        <f t="shared" si="1"/>
        <v>46.3</v>
      </c>
      <c r="S16" s="28">
        <v>7.35</v>
      </c>
      <c r="T16" s="28">
        <v>10.5</v>
      </c>
      <c r="U16" s="28">
        <v>9.3000000000000007</v>
      </c>
      <c r="V16" s="28">
        <v>9.6999999999999993</v>
      </c>
      <c r="W16" s="28">
        <v>9.4499999999999993</v>
      </c>
      <c r="X16" s="23"/>
      <c r="Y16" s="41">
        <f t="shared" si="3"/>
        <v>28.45</v>
      </c>
      <c r="Z16" s="41"/>
      <c r="AA16" s="40">
        <v>45.1</v>
      </c>
      <c r="AB16" s="28">
        <v>7.1</v>
      </c>
      <c r="AC16" s="28">
        <v>9.5</v>
      </c>
      <c r="AD16" s="28">
        <v>9.5</v>
      </c>
      <c r="AE16" s="28">
        <v>9.5</v>
      </c>
      <c r="AF16" s="28">
        <v>9.5</v>
      </c>
      <c r="AG16" s="24"/>
      <c r="AH16" s="41">
        <f t="shared" si="4"/>
        <v>28.5</v>
      </c>
      <c r="AI16" s="41"/>
      <c r="AJ16" s="42">
        <f t="shared" si="2"/>
        <v>-2.591792656587464E-2</v>
      </c>
      <c r="AK16" s="42">
        <f t="shared" si="0"/>
        <v>-3.4013605442176874E-2</v>
      </c>
      <c r="AL16" s="42">
        <f t="shared" si="0"/>
        <v>-9.5238095238095233E-2</v>
      </c>
      <c r="AM16" s="42">
        <f t="shared" si="0"/>
        <v>2.1505376344085943E-2</v>
      </c>
      <c r="AN16" s="42">
        <f t="shared" si="0"/>
        <v>-2.0618556701030855E-2</v>
      </c>
      <c r="AO16" s="42">
        <f t="shared" si="0"/>
        <v>5.2910052910053662E-3</v>
      </c>
      <c r="AP16" s="42" t="str">
        <f t="shared" si="0"/>
        <v/>
      </c>
      <c r="AQ16" s="42">
        <f t="shared" si="0"/>
        <v>1.75746924428825E-3</v>
      </c>
      <c r="AR16" s="42" t="str">
        <f t="shared" si="0"/>
        <v/>
      </c>
    </row>
    <row r="17" spans="1:44" s="17" customFormat="1" ht="12.75">
      <c r="A17" s="145">
        <v>42278</v>
      </c>
      <c r="B17" s="146" t="s">
        <v>115</v>
      </c>
      <c r="C17" s="147">
        <v>0.4622337962962963</v>
      </c>
      <c r="D17" s="22"/>
      <c r="E17" s="28"/>
      <c r="F17" s="22"/>
      <c r="G17" s="22"/>
      <c r="H17" s="77"/>
      <c r="I17" s="146" t="s">
        <v>103</v>
      </c>
      <c r="J17" s="39"/>
      <c r="K17" s="77">
        <v>0</v>
      </c>
      <c r="L17" s="77">
        <v>0</v>
      </c>
      <c r="M17" s="77">
        <v>1</v>
      </c>
      <c r="N17" s="77">
        <v>1</v>
      </c>
      <c r="O17" s="77">
        <v>1</v>
      </c>
      <c r="P17" s="149"/>
      <c r="Q17" s="29">
        <v>5</v>
      </c>
      <c r="R17" s="82">
        <f t="shared" si="1"/>
        <v>41.7</v>
      </c>
      <c r="S17" s="28">
        <v>7.3</v>
      </c>
      <c r="T17" s="28">
        <v>14.3</v>
      </c>
      <c r="U17" s="28">
        <v>6.8</v>
      </c>
      <c r="V17" s="28">
        <v>6.6</v>
      </c>
      <c r="W17" s="28">
        <v>6.7</v>
      </c>
      <c r="X17" s="23"/>
      <c r="Y17" s="41">
        <f t="shared" si="3"/>
        <v>20.099999999999998</v>
      </c>
      <c r="Z17" s="41"/>
      <c r="AA17" s="40">
        <v>41.4</v>
      </c>
      <c r="AB17" s="28">
        <v>7.6</v>
      </c>
      <c r="AC17" s="28">
        <v>13.7</v>
      </c>
      <c r="AD17" s="28">
        <v>6.7</v>
      </c>
      <c r="AE17" s="28">
        <v>6.7</v>
      </c>
      <c r="AF17" s="28">
        <v>6.7</v>
      </c>
      <c r="AG17" s="24"/>
      <c r="AH17" s="41">
        <f t="shared" si="4"/>
        <v>20.100000000000001</v>
      </c>
      <c r="AI17" s="41"/>
      <c r="AJ17" s="42">
        <f t="shared" si="2"/>
        <v>-7.1942446043166486E-3</v>
      </c>
      <c r="AK17" s="42">
        <f t="shared" si="0"/>
        <v>4.1095890410958881E-2</v>
      </c>
      <c r="AL17" s="42">
        <f t="shared" si="0"/>
        <v>-4.1958041958042057E-2</v>
      </c>
      <c r="AM17" s="42">
        <f t="shared" si="0"/>
        <v>-1.4705882352941124E-2</v>
      </c>
      <c r="AN17" s="42">
        <f t="shared" si="0"/>
        <v>1.5151515151515233E-2</v>
      </c>
      <c r="AO17" s="42">
        <f>IF(W17&gt;0,(AF17-W17)/W17,"")</f>
        <v>0</v>
      </c>
      <c r="AP17" s="42" t="str">
        <f t="shared" si="0"/>
        <v/>
      </c>
      <c r="AQ17" s="42">
        <f t="shared" si="0"/>
        <v>1.7675192431843289E-16</v>
      </c>
      <c r="AR17" s="42" t="str">
        <f t="shared" si="0"/>
        <v/>
      </c>
    </row>
    <row r="18" spans="1:44" s="17" customFormat="1" ht="12.75">
      <c r="A18" s="145">
        <v>42278</v>
      </c>
      <c r="B18" s="146" t="s">
        <v>116</v>
      </c>
      <c r="C18" s="147">
        <v>0.46813657407407411</v>
      </c>
      <c r="D18" s="154">
        <v>0.4694444444444445</v>
      </c>
      <c r="E18" s="28"/>
      <c r="F18" s="22"/>
      <c r="G18" s="22"/>
      <c r="H18" s="77"/>
      <c r="I18" s="146" t="s">
        <v>103</v>
      </c>
      <c r="J18" s="39"/>
      <c r="K18" s="77">
        <v>0</v>
      </c>
      <c r="L18" s="77">
        <v>0</v>
      </c>
      <c r="M18" s="77">
        <v>1</v>
      </c>
      <c r="N18" s="77">
        <v>1</v>
      </c>
      <c r="O18" s="77">
        <v>1</v>
      </c>
      <c r="P18" s="149"/>
      <c r="Q18" s="29">
        <v>5</v>
      </c>
      <c r="R18" s="82">
        <f t="shared" si="1"/>
        <v>43.699999999999996</v>
      </c>
      <c r="S18" s="28">
        <v>7.05</v>
      </c>
      <c r="T18" s="28">
        <v>13.95</v>
      </c>
      <c r="U18" s="28">
        <v>7.25</v>
      </c>
      <c r="V18" s="28">
        <v>7.55</v>
      </c>
      <c r="W18" s="28">
        <v>7.9</v>
      </c>
      <c r="X18" s="23"/>
      <c r="Y18" s="41">
        <f t="shared" si="3"/>
        <v>22.700000000000003</v>
      </c>
      <c r="Z18" s="41"/>
      <c r="AA18" s="40">
        <v>45.1</v>
      </c>
      <c r="AB18" s="28">
        <v>7.3</v>
      </c>
      <c r="AC18" s="28">
        <v>12.9</v>
      </c>
      <c r="AD18" s="28">
        <v>8.3000000000000007</v>
      </c>
      <c r="AE18" s="28">
        <v>8.3000000000000007</v>
      </c>
      <c r="AF18" s="28">
        <v>8.3000000000000007</v>
      </c>
      <c r="AG18" s="24"/>
      <c r="AH18" s="41">
        <f t="shared" si="4"/>
        <v>24.900000000000002</v>
      </c>
      <c r="AI18" s="41"/>
      <c r="AJ18" s="42">
        <f t="shared" si="2"/>
        <v>3.2036613272311346E-2</v>
      </c>
      <c r="AK18" s="42">
        <f>IF(S18&gt;0,(AB18-S18)/S18,"")</f>
        <v>3.5460992907801421E-2</v>
      </c>
      <c r="AL18" s="42">
        <f t="shared" si="0"/>
        <v>-7.5268817204301008E-2</v>
      </c>
      <c r="AM18" s="42">
        <f t="shared" si="0"/>
        <v>0.14482758620689665</v>
      </c>
      <c r="AN18" s="42">
        <f t="shared" si="0"/>
        <v>9.933774834437098E-2</v>
      </c>
      <c r="AO18" s="42">
        <f t="shared" si="0"/>
        <v>5.0632911392405104E-2</v>
      </c>
      <c r="AP18" s="42" t="str">
        <f t="shared" si="0"/>
        <v/>
      </c>
      <c r="AQ18" s="42">
        <f t="shared" si="0"/>
        <v>9.6916299559471328E-2</v>
      </c>
      <c r="AR18" s="42" t="str">
        <f t="shared" si="0"/>
        <v/>
      </c>
    </row>
    <row r="19" spans="1:44" s="17" customFormat="1" ht="12.75">
      <c r="A19" s="145">
        <v>42278</v>
      </c>
      <c r="B19" s="146" t="s">
        <v>117</v>
      </c>
      <c r="C19" s="147">
        <v>0.48775462962962962</v>
      </c>
      <c r="D19" s="154">
        <v>0.48958333333333331</v>
      </c>
      <c r="E19" s="28"/>
      <c r="F19" s="22"/>
      <c r="G19" s="22"/>
      <c r="H19" s="77"/>
      <c r="I19" s="146" t="s">
        <v>118</v>
      </c>
      <c r="J19" s="39"/>
      <c r="K19" s="77">
        <v>0</v>
      </c>
      <c r="L19" s="77">
        <v>0</v>
      </c>
      <c r="M19" s="77">
        <v>1</v>
      </c>
      <c r="N19" s="77">
        <v>1</v>
      </c>
      <c r="O19" s="77">
        <v>1</v>
      </c>
      <c r="P19" s="149"/>
      <c r="Q19" s="29">
        <v>5</v>
      </c>
      <c r="R19" s="82">
        <f t="shared" si="1"/>
        <v>40.700000000000003</v>
      </c>
      <c r="S19" s="28">
        <v>6.4</v>
      </c>
      <c r="T19" s="28">
        <v>14.05</v>
      </c>
      <c r="U19" s="28">
        <v>6.85</v>
      </c>
      <c r="V19" s="28">
        <v>6.75</v>
      </c>
      <c r="W19" s="28">
        <v>6.65</v>
      </c>
      <c r="X19" s="23"/>
      <c r="Y19" s="41">
        <f t="shared" si="3"/>
        <v>20.25</v>
      </c>
      <c r="Z19" s="41"/>
      <c r="AA19" s="40">
        <v>40.1</v>
      </c>
      <c r="AB19" s="28">
        <v>6.3</v>
      </c>
      <c r="AC19" s="28">
        <v>13.7</v>
      </c>
      <c r="AD19" s="28">
        <v>6.7</v>
      </c>
      <c r="AE19" s="28">
        <v>6.7</v>
      </c>
      <c r="AF19" s="28">
        <v>6.7</v>
      </c>
      <c r="AG19" s="24"/>
      <c r="AH19" s="41">
        <f t="shared" si="4"/>
        <v>20.100000000000001</v>
      </c>
      <c r="AI19" s="41"/>
      <c r="AJ19" s="42">
        <f t="shared" si="2"/>
        <v>-1.4742014742014775E-2</v>
      </c>
      <c r="AK19" s="42">
        <f t="shared" si="0"/>
        <v>-1.5625000000000083E-2</v>
      </c>
      <c r="AL19" s="42">
        <f t="shared" si="0"/>
        <v>-2.4911032028469851E-2</v>
      </c>
      <c r="AM19" s="42">
        <f t="shared" si="0"/>
        <v>-2.1897810218978027E-2</v>
      </c>
      <c r="AN19" s="42">
        <f t="shared" si="0"/>
        <v>-7.4074074074073808E-3</v>
      </c>
      <c r="AO19" s="42">
        <f t="shared" si="0"/>
        <v>7.5187969924811757E-3</v>
      </c>
      <c r="AP19" s="42" t="str">
        <f t="shared" si="0"/>
        <v/>
      </c>
      <c r="AQ19" s="42">
        <f t="shared" si="0"/>
        <v>-7.4074074074073374E-3</v>
      </c>
      <c r="AR19" s="42" t="str">
        <f t="shared" si="0"/>
        <v/>
      </c>
    </row>
    <row r="20" spans="1:44" s="17" customFormat="1" ht="12.75">
      <c r="A20" s="145">
        <v>42278</v>
      </c>
      <c r="B20" s="146" t="s">
        <v>119</v>
      </c>
      <c r="C20" s="147">
        <v>0.61276620370370372</v>
      </c>
      <c r="D20" s="22"/>
      <c r="E20" s="28"/>
      <c r="F20" s="22"/>
      <c r="G20" s="22"/>
      <c r="H20" s="77"/>
      <c r="I20" s="146" t="s">
        <v>103</v>
      </c>
      <c r="J20" s="39"/>
      <c r="K20" s="77">
        <v>0</v>
      </c>
      <c r="L20" s="77">
        <v>0</v>
      </c>
      <c r="M20" s="77">
        <v>1</v>
      </c>
      <c r="N20" s="77">
        <v>1</v>
      </c>
      <c r="O20" s="77">
        <v>1</v>
      </c>
      <c r="P20" s="149"/>
      <c r="Q20" s="29">
        <v>5</v>
      </c>
      <c r="R20" s="82">
        <f t="shared" si="1"/>
        <v>45.3</v>
      </c>
      <c r="S20" s="28">
        <v>8.1999999999999993</v>
      </c>
      <c r="T20" s="28">
        <v>12</v>
      </c>
      <c r="U20" s="28">
        <v>8.35</v>
      </c>
      <c r="V20" s="28">
        <v>8.4</v>
      </c>
      <c r="W20" s="28">
        <v>8.35</v>
      </c>
      <c r="X20" s="23"/>
      <c r="Y20" s="41">
        <f t="shared" si="3"/>
        <v>25.1</v>
      </c>
      <c r="Z20" s="41"/>
      <c r="AA20" s="40">
        <v>46.41</v>
      </c>
      <c r="AB20" s="28">
        <v>8.49</v>
      </c>
      <c r="AC20" s="28">
        <v>11.94</v>
      </c>
      <c r="AD20" s="28">
        <v>8.66</v>
      </c>
      <c r="AE20" s="28">
        <v>8.66</v>
      </c>
      <c r="AF20" s="28">
        <v>8.66</v>
      </c>
      <c r="AG20" s="24"/>
      <c r="AH20" s="41">
        <f t="shared" si="4"/>
        <v>25.98</v>
      </c>
      <c r="AI20" s="41"/>
      <c r="AJ20" s="42">
        <f t="shared" si="2"/>
        <v>2.4503311258278135E-2</v>
      </c>
      <c r="AK20" s="42">
        <f t="shared" si="0"/>
        <v>3.53658536585367E-2</v>
      </c>
      <c r="AL20" s="42">
        <f t="shared" si="0"/>
        <v>-5.0000000000000417E-3</v>
      </c>
      <c r="AM20" s="42">
        <f t="shared" si="0"/>
        <v>3.712574850299407E-2</v>
      </c>
      <c r="AN20" s="42">
        <f t="shared" si="0"/>
        <v>3.0952380952380926E-2</v>
      </c>
      <c r="AO20" s="42">
        <f t="shared" si="0"/>
        <v>3.712574850299407E-2</v>
      </c>
      <c r="AP20" s="42" t="str">
        <f t="shared" si="0"/>
        <v/>
      </c>
      <c r="AQ20" s="42">
        <f t="shared" si="0"/>
        <v>3.5059760956175259E-2</v>
      </c>
      <c r="AR20" s="42" t="str">
        <f t="shared" si="0"/>
        <v/>
      </c>
    </row>
    <row r="21" spans="1:44" s="25" customFormat="1" ht="12.75">
      <c r="A21" s="145">
        <v>42278</v>
      </c>
      <c r="B21" s="146" t="s">
        <v>120</v>
      </c>
      <c r="C21" s="147">
        <v>0.62418981481481484</v>
      </c>
      <c r="D21" s="22"/>
      <c r="E21" s="28"/>
      <c r="F21" s="22"/>
      <c r="G21" s="22"/>
      <c r="H21" s="77"/>
      <c r="I21" s="146" t="s">
        <v>103</v>
      </c>
      <c r="J21" s="39"/>
      <c r="K21" s="77">
        <v>0</v>
      </c>
      <c r="L21" s="77">
        <v>0</v>
      </c>
      <c r="M21" s="77">
        <v>1</v>
      </c>
      <c r="N21" s="77">
        <v>1</v>
      </c>
      <c r="O21" s="77">
        <v>1</v>
      </c>
      <c r="P21" s="149"/>
      <c r="Q21" s="29">
        <v>5</v>
      </c>
      <c r="R21" s="82">
        <f t="shared" si="1"/>
        <v>43.3</v>
      </c>
      <c r="S21" s="28">
        <v>6.75</v>
      </c>
      <c r="T21" s="28">
        <v>12.45</v>
      </c>
      <c r="U21" s="28">
        <v>8</v>
      </c>
      <c r="V21" s="28">
        <v>8.1</v>
      </c>
      <c r="W21" s="28">
        <v>8</v>
      </c>
      <c r="X21" s="23"/>
      <c r="Y21" s="41">
        <f t="shared" si="3"/>
        <v>24.1</v>
      </c>
      <c r="Z21" s="41"/>
      <c r="AA21" s="40">
        <v>44.9</v>
      </c>
      <c r="AB21" s="28">
        <v>7</v>
      </c>
      <c r="AC21" s="28">
        <v>12.4</v>
      </c>
      <c r="AD21" s="28">
        <v>8.5</v>
      </c>
      <c r="AE21" s="28">
        <v>8.5</v>
      </c>
      <c r="AF21" s="28">
        <v>8.5</v>
      </c>
      <c r="AG21" s="24"/>
      <c r="AH21" s="41">
        <f t="shared" si="4"/>
        <v>25.5</v>
      </c>
      <c r="AI21" s="41"/>
      <c r="AJ21" s="42">
        <f t="shared" si="2"/>
        <v>3.6951501154734445E-2</v>
      </c>
      <c r="AK21" s="42">
        <f t="shared" si="0"/>
        <v>3.7037037037037035E-2</v>
      </c>
      <c r="AL21" s="42">
        <f t="shared" si="0"/>
        <v>-4.0160642570280271E-3</v>
      </c>
      <c r="AM21" s="42">
        <f t="shared" si="0"/>
        <v>6.25E-2</v>
      </c>
      <c r="AN21" s="42">
        <f t="shared" si="0"/>
        <v>4.9382716049382762E-2</v>
      </c>
      <c r="AO21" s="42">
        <f t="shared" si="0"/>
        <v>6.25E-2</v>
      </c>
      <c r="AP21" s="42" t="str">
        <f t="shared" si="0"/>
        <v/>
      </c>
      <c r="AQ21" s="42">
        <f t="shared" si="0"/>
        <v>5.8091286307053881E-2</v>
      </c>
      <c r="AR21" s="42" t="str">
        <f t="shared" si="0"/>
        <v/>
      </c>
    </row>
    <row r="22" spans="1:44" s="25" customFormat="1" ht="12.75">
      <c r="A22" s="145">
        <v>42278</v>
      </c>
      <c r="B22" s="146" t="s">
        <v>121</v>
      </c>
      <c r="C22" s="147">
        <v>0.62567129629629636</v>
      </c>
      <c r="D22" s="22"/>
      <c r="E22" s="28"/>
      <c r="F22" s="22"/>
      <c r="G22" s="22"/>
      <c r="H22" s="77"/>
      <c r="I22" s="146" t="s">
        <v>103</v>
      </c>
      <c r="J22" s="39"/>
      <c r="K22" s="77">
        <v>0</v>
      </c>
      <c r="L22" s="77">
        <v>0</v>
      </c>
      <c r="M22" s="77">
        <v>1</v>
      </c>
      <c r="N22" s="77">
        <v>1</v>
      </c>
      <c r="O22" s="77">
        <v>1</v>
      </c>
      <c r="P22" s="149"/>
      <c r="Q22" s="29">
        <v>5</v>
      </c>
      <c r="R22" s="82">
        <f t="shared" si="1"/>
        <v>43.05</v>
      </c>
      <c r="S22" s="28">
        <v>7.15</v>
      </c>
      <c r="T22" s="28">
        <v>11.4</v>
      </c>
      <c r="U22" s="28">
        <v>8.0500000000000007</v>
      </c>
      <c r="V22" s="28">
        <v>8</v>
      </c>
      <c r="W22" s="28">
        <v>8.4499999999999993</v>
      </c>
      <c r="X22" s="23"/>
      <c r="Y22" s="41">
        <f t="shared" si="3"/>
        <v>24.5</v>
      </c>
      <c r="Z22" s="41"/>
      <c r="AA22" s="40">
        <v>45.4</v>
      </c>
      <c r="AB22" s="28">
        <v>7.5</v>
      </c>
      <c r="AC22" s="28">
        <v>11.5</v>
      </c>
      <c r="AD22" s="28">
        <v>8.8000000000000007</v>
      </c>
      <c r="AE22" s="28">
        <v>8.8000000000000007</v>
      </c>
      <c r="AF22" s="28">
        <v>8.8000000000000007</v>
      </c>
      <c r="AG22" s="24"/>
      <c r="AH22" s="41">
        <f t="shared" si="4"/>
        <v>26.400000000000002</v>
      </c>
      <c r="AI22" s="41"/>
      <c r="AJ22" s="42">
        <f t="shared" si="2"/>
        <v>5.4587688734030235E-2</v>
      </c>
      <c r="AK22" s="42">
        <f t="shared" si="0"/>
        <v>4.8951048951048896E-2</v>
      </c>
      <c r="AL22" s="42">
        <f t="shared" si="0"/>
        <v>8.7719298245613718E-3</v>
      </c>
      <c r="AM22" s="42">
        <f t="shared" si="0"/>
        <v>9.3167701863354033E-2</v>
      </c>
      <c r="AN22" s="42">
        <f t="shared" si="0"/>
        <v>0.10000000000000009</v>
      </c>
      <c r="AO22" s="42">
        <f t="shared" si="0"/>
        <v>4.1420118343195436E-2</v>
      </c>
      <c r="AP22" s="42" t="str">
        <f t="shared" si="0"/>
        <v/>
      </c>
      <c r="AQ22" s="42">
        <f t="shared" si="0"/>
        <v>7.7551020408163349E-2</v>
      </c>
      <c r="AR22" s="42" t="str">
        <f t="shared" si="0"/>
        <v/>
      </c>
    </row>
    <row r="23" spans="1:44" s="25" customFormat="1" ht="12.75">
      <c r="A23" s="145">
        <v>42278</v>
      </c>
      <c r="B23" s="146" t="s">
        <v>122</v>
      </c>
      <c r="C23" s="147">
        <v>0.63230324074074074</v>
      </c>
      <c r="D23" s="22"/>
      <c r="E23" s="28"/>
      <c r="F23" s="22"/>
      <c r="G23" s="22"/>
      <c r="H23" s="77"/>
      <c r="I23" s="146" t="s">
        <v>118</v>
      </c>
      <c r="J23" s="39"/>
      <c r="K23" s="77">
        <v>0</v>
      </c>
      <c r="L23" s="77">
        <v>0</v>
      </c>
      <c r="M23" s="77">
        <v>1</v>
      </c>
      <c r="N23" s="77">
        <v>1</v>
      </c>
      <c r="O23" s="77">
        <v>1</v>
      </c>
      <c r="P23" s="149"/>
      <c r="Q23" s="29">
        <v>5</v>
      </c>
      <c r="R23" s="82">
        <f t="shared" si="1"/>
        <v>44.800000000000004</v>
      </c>
      <c r="S23" s="28">
        <v>7.4</v>
      </c>
      <c r="T23" s="28">
        <v>10.8</v>
      </c>
      <c r="U23" s="28">
        <v>8.8000000000000007</v>
      </c>
      <c r="V23" s="28">
        <v>9.0500000000000007</v>
      </c>
      <c r="W23" s="28">
        <v>8.75</v>
      </c>
      <c r="X23" s="23"/>
      <c r="Y23" s="41">
        <f t="shared" si="3"/>
        <v>26.6</v>
      </c>
      <c r="Z23" s="41"/>
      <c r="AA23" s="40">
        <v>46.4</v>
      </c>
      <c r="AB23" s="28">
        <v>7.6</v>
      </c>
      <c r="AC23" s="28">
        <v>10.9</v>
      </c>
      <c r="AD23" s="28">
        <v>9.3000000000000007</v>
      </c>
      <c r="AE23" s="28">
        <v>9.3000000000000007</v>
      </c>
      <c r="AF23" s="28">
        <v>9.3000000000000007</v>
      </c>
      <c r="AG23" s="24"/>
      <c r="AH23" s="41">
        <f t="shared" si="4"/>
        <v>27.900000000000002</v>
      </c>
      <c r="AI23" s="41"/>
      <c r="AJ23" s="42">
        <f t="shared" si="2"/>
        <v>3.5714285714285587E-2</v>
      </c>
      <c r="AK23" s="42">
        <f t="shared" si="0"/>
        <v>2.7027027027026931E-2</v>
      </c>
      <c r="AL23" s="42">
        <f t="shared" si="0"/>
        <v>9.2592592592592258E-3</v>
      </c>
      <c r="AM23" s="42">
        <f t="shared" si="0"/>
        <v>5.6818181818181816E-2</v>
      </c>
      <c r="AN23" s="42">
        <f t="shared" si="0"/>
        <v>2.7624309392265192E-2</v>
      </c>
      <c r="AO23" s="42">
        <f t="shared" si="0"/>
        <v>6.2857142857142945E-2</v>
      </c>
      <c r="AP23" s="42" t="str">
        <f t="shared" si="0"/>
        <v/>
      </c>
      <c r="AQ23" s="42">
        <f t="shared" si="0"/>
        <v>4.8872180451127845E-2</v>
      </c>
      <c r="AR23" s="42" t="str">
        <f t="shared" si="0"/>
        <v/>
      </c>
    </row>
    <row r="24" spans="1:44" s="25" customFormat="1" ht="12.75">
      <c r="A24" s="145">
        <v>42278</v>
      </c>
      <c r="B24" s="148"/>
      <c r="C24" s="147">
        <v>0.63876157407407408</v>
      </c>
      <c r="D24" s="22"/>
      <c r="E24" s="28"/>
      <c r="F24" s="22"/>
      <c r="G24" s="22"/>
      <c r="H24" s="77"/>
      <c r="I24" s="146" t="s">
        <v>103</v>
      </c>
      <c r="J24" s="39"/>
      <c r="K24" s="77">
        <v>0</v>
      </c>
      <c r="L24" s="77">
        <v>0</v>
      </c>
      <c r="M24" s="77">
        <v>1</v>
      </c>
      <c r="N24" s="77">
        <v>1</v>
      </c>
      <c r="O24" s="77">
        <v>1</v>
      </c>
      <c r="P24" s="149"/>
      <c r="Q24" s="29">
        <v>5</v>
      </c>
      <c r="R24" s="82">
        <f t="shared" si="1"/>
        <v>44.75</v>
      </c>
      <c r="S24" s="28">
        <v>8.15</v>
      </c>
      <c r="T24" s="28">
        <v>12.2</v>
      </c>
      <c r="U24" s="28">
        <v>7.3</v>
      </c>
      <c r="V24" s="28">
        <v>8.3000000000000007</v>
      </c>
      <c r="W24" s="28">
        <v>8.8000000000000007</v>
      </c>
      <c r="X24" s="23"/>
      <c r="Y24" s="41">
        <f t="shared" si="3"/>
        <v>24.400000000000002</v>
      </c>
      <c r="Z24" s="41"/>
      <c r="AA24" s="40">
        <v>46.7</v>
      </c>
      <c r="AB24" s="28">
        <v>8.5</v>
      </c>
      <c r="AC24" s="28">
        <v>12.7</v>
      </c>
      <c r="AD24" s="155">
        <v>8.5</v>
      </c>
      <c r="AE24" s="28">
        <v>8.5</v>
      </c>
      <c r="AF24" s="28">
        <v>8.5</v>
      </c>
      <c r="AG24" s="24"/>
      <c r="AH24" s="41">
        <f t="shared" si="4"/>
        <v>25.5</v>
      </c>
      <c r="AI24" s="41"/>
      <c r="AJ24" s="42">
        <f t="shared" si="2"/>
        <v>4.3575418994413473E-2</v>
      </c>
      <c r="AK24" s="42">
        <f t="shared" si="0"/>
        <v>4.2944785276073573E-2</v>
      </c>
      <c r="AL24" s="42">
        <f t="shared" si="0"/>
        <v>4.0983606557377053E-2</v>
      </c>
      <c r="AM24" s="42">
        <f t="shared" si="0"/>
        <v>0.16438356164383564</v>
      </c>
      <c r="AN24" s="42">
        <f t="shared" si="0"/>
        <v>2.4096385542168586E-2</v>
      </c>
      <c r="AO24" s="42">
        <f t="shared" si="0"/>
        <v>-3.4090909090909172E-2</v>
      </c>
      <c r="AP24" s="42" t="str">
        <f t="shared" si="0"/>
        <v/>
      </c>
      <c r="AQ24" s="42">
        <f t="shared" si="0"/>
        <v>4.5081967213114665E-2</v>
      </c>
      <c r="AR24" s="42" t="str">
        <f t="shared" si="0"/>
        <v/>
      </c>
    </row>
    <row r="25" spans="1:44" s="25" customFormat="1" ht="12.75">
      <c r="A25" s="145">
        <v>42278</v>
      </c>
      <c r="B25" s="146" t="s">
        <v>123</v>
      </c>
      <c r="C25" s="147">
        <v>0.6486574074074074</v>
      </c>
      <c r="D25" s="22"/>
      <c r="E25" s="28"/>
      <c r="F25" s="22"/>
      <c r="G25" s="22"/>
      <c r="H25" s="77"/>
      <c r="I25" s="146" t="s">
        <v>125</v>
      </c>
      <c r="J25" s="39"/>
      <c r="K25" s="77">
        <v>0</v>
      </c>
      <c r="L25" s="77">
        <v>1</v>
      </c>
      <c r="M25" s="77">
        <v>1</v>
      </c>
      <c r="N25" s="77">
        <v>1</v>
      </c>
      <c r="O25" s="77">
        <v>1</v>
      </c>
      <c r="P25" s="149">
        <v>1</v>
      </c>
      <c r="Q25" s="29">
        <v>6</v>
      </c>
      <c r="R25" s="82">
        <f t="shared" si="1"/>
        <v>41.9</v>
      </c>
      <c r="S25" s="28">
        <v>6.2</v>
      </c>
      <c r="T25" s="28">
        <v>5.05</v>
      </c>
      <c r="U25" s="28">
        <v>7.95</v>
      </c>
      <c r="V25" s="28">
        <v>7.65</v>
      </c>
      <c r="W25" s="28">
        <v>7.4</v>
      </c>
      <c r="X25" s="23">
        <v>7.65</v>
      </c>
      <c r="Y25" s="41">
        <f>SUM(T25:U25)</f>
        <v>13</v>
      </c>
      <c r="Z25" s="41">
        <f>SUM(V25:X25)</f>
        <v>22.700000000000003</v>
      </c>
      <c r="AA25" s="40">
        <v>45.3</v>
      </c>
      <c r="AB25" s="28">
        <v>6.7</v>
      </c>
      <c r="AC25" s="28">
        <v>6.7</v>
      </c>
      <c r="AD25" s="28">
        <v>6.7</v>
      </c>
      <c r="AE25" s="28">
        <v>8.4</v>
      </c>
      <c r="AF25" s="28">
        <v>8.4</v>
      </c>
      <c r="AG25" s="24">
        <v>8.4</v>
      </c>
      <c r="AH25" s="41">
        <f>SUM(AC25:AD25)</f>
        <v>13.4</v>
      </c>
      <c r="AI25" s="41">
        <f>SUM(AE25:AG25)</f>
        <v>25.200000000000003</v>
      </c>
      <c r="AJ25" s="42">
        <f t="shared" si="2"/>
        <v>8.1145584725536957E-2</v>
      </c>
      <c r="AK25" s="42">
        <f t="shared" si="0"/>
        <v>8.0645161290322578E-2</v>
      </c>
      <c r="AL25" s="42">
        <f t="shared" si="0"/>
        <v>0.3267326732673268</v>
      </c>
      <c r="AM25" s="42">
        <f t="shared" si="0"/>
        <v>-0.15723270440251572</v>
      </c>
      <c r="AN25" s="42">
        <f t="shared" si="0"/>
        <v>9.8039215686274508E-2</v>
      </c>
      <c r="AO25" s="42">
        <f t="shared" si="0"/>
        <v>0.13513513513513511</v>
      </c>
      <c r="AP25" s="42">
        <f t="shared" si="0"/>
        <v>9.8039215686274508E-2</v>
      </c>
      <c r="AQ25" s="42">
        <f t="shared" si="0"/>
        <v>3.0769230769230795E-2</v>
      </c>
      <c r="AR25" s="42">
        <f>IF(Z25&gt;0,(AI25-Z25)/Z25,"")</f>
        <v>0.11013215859030835</v>
      </c>
    </row>
    <row r="26" spans="1:44" s="25" customFormat="1" ht="12.75">
      <c r="A26" s="145">
        <v>42278</v>
      </c>
      <c r="B26" s="146" t="s">
        <v>124</v>
      </c>
      <c r="C26" s="147">
        <v>0.65016203703703701</v>
      </c>
      <c r="D26" s="22"/>
      <c r="E26" s="28"/>
      <c r="F26" s="22"/>
      <c r="G26" s="22"/>
      <c r="H26" s="77"/>
      <c r="I26" s="146" t="s">
        <v>125</v>
      </c>
      <c r="J26" s="39"/>
      <c r="K26" s="77">
        <v>0</v>
      </c>
      <c r="L26" s="77">
        <v>1</v>
      </c>
      <c r="M26" s="77">
        <v>1</v>
      </c>
      <c r="N26" s="77">
        <v>1</v>
      </c>
      <c r="O26" s="77">
        <v>1</v>
      </c>
      <c r="P26" s="149">
        <v>1</v>
      </c>
      <c r="Q26" s="29">
        <v>6</v>
      </c>
      <c r="R26" s="82">
        <f t="shared" si="1"/>
        <v>44.85</v>
      </c>
      <c r="S26" s="28">
        <v>5.35</v>
      </c>
      <c r="T26" s="28">
        <v>8.25</v>
      </c>
      <c r="U26" s="28">
        <v>8.1</v>
      </c>
      <c r="V26" s="28">
        <v>7.75</v>
      </c>
      <c r="W26" s="28">
        <v>7.8</v>
      </c>
      <c r="X26" s="23">
        <v>7.6</v>
      </c>
      <c r="Y26" s="41">
        <f>SUM(T26:U26)</f>
        <v>16.350000000000001</v>
      </c>
      <c r="Z26" s="41">
        <f>SUM(V26:X26)</f>
        <v>23.15</v>
      </c>
      <c r="AA26" s="40">
        <v>45.5</v>
      </c>
      <c r="AB26" s="28">
        <v>5.2</v>
      </c>
      <c r="AC26" s="28">
        <v>8.1</v>
      </c>
      <c r="AD26" s="28">
        <v>8.1</v>
      </c>
      <c r="AE26" s="28">
        <v>8.4</v>
      </c>
      <c r="AF26" s="28">
        <v>8.1</v>
      </c>
      <c r="AG26" s="24">
        <v>7.6</v>
      </c>
      <c r="AH26" s="41">
        <f>SUM(AC26:AD26)</f>
        <v>16.2</v>
      </c>
      <c r="AI26" s="41">
        <f>SUM(AE26:AG26)</f>
        <v>24.1</v>
      </c>
      <c r="AJ26" s="42">
        <f t="shared" si="2"/>
        <v>1.4492753623188373E-2</v>
      </c>
      <c r="AK26" s="42">
        <f>IF(S26&gt;0,(AB26-S26)/S26,"")</f>
        <v>-2.8037383177569996E-2</v>
      </c>
      <c r="AL26" s="42">
        <f t="shared" si="0"/>
        <v>-1.8181818181818226E-2</v>
      </c>
      <c r="AM26" s="42">
        <f t="shared" si="0"/>
        <v>0</v>
      </c>
      <c r="AN26" s="42">
        <f>IF(V26&gt;0,(AE26-V26)/V26,"")</f>
        <v>8.3870967741935532E-2</v>
      </c>
      <c r="AO26" s="42">
        <f t="shared" si="0"/>
        <v>3.8461538461538443E-2</v>
      </c>
      <c r="AP26" s="42">
        <f t="shared" si="0"/>
        <v>0</v>
      </c>
      <c r="AQ26" s="42">
        <f>IF(Y26&gt;0,(AH26-Y26)/Y26,"")</f>
        <v>-9.1743119266056335E-3</v>
      </c>
      <c r="AR26" s="42">
        <f>IF(Z26&gt;0,(AI26-Z26)/Z26,"")</f>
        <v>4.1036717062635113E-2</v>
      </c>
    </row>
    <row r="27" spans="1:44" s="37" customFormat="1" ht="12.75">
      <c r="A27" s="150"/>
      <c r="B27" s="148"/>
      <c r="C27" s="147"/>
      <c r="D27" s="22"/>
      <c r="E27" s="28"/>
      <c r="F27" s="22"/>
      <c r="G27" s="22"/>
      <c r="H27" s="77"/>
      <c r="I27" s="148"/>
      <c r="J27" s="39"/>
      <c r="K27" s="77"/>
      <c r="L27" s="77"/>
      <c r="M27" s="77"/>
      <c r="N27" s="77"/>
      <c r="O27" s="77"/>
      <c r="P27" s="149"/>
      <c r="Q27" s="29"/>
      <c r="R27" s="82"/>
      <c r="S27" s="28"/>
      <c r="T27" s="28"/>
      <c r="U27" s="28"/>
      <c r="V27" s="28"/>
      <c r="W27" s="28"/>
      <c r="X27" s="23"/>
      <c r="Y27" s="41"/>
      <c r="Z27" s="41"/>
      <c r="AA27" s="40"/>
      <c r="AB27" s="28"/>
      <c r="AC27" s="28"/>
      <c r="AD27" s="28"/>
      <c r="AE27" s="28"/>
      <c r="AF27" s="28"/>
      <c r="AG27" s="24"/>
      <c r="AH27" s="41"/>
      <c r="AI27" s="41"/>
      <c r="AJ27" s="42" t="str">
        <f t="shared" si="2"/>
        <v/>
      </c>
      <c r="AK27" s="42" t="str">
        <f t="shared" si="0"/>
        <v/>
      </c>
      <c r="AL27" s="42" t="str">
        <f t="shared" si="0"/>
        <v/>
      </c>
      <c r="AM27" s="42" t="str">
        <f t="shared" si="0"/>
        <v/>
      </c>
      <c r="AN27" s="42" t="str">
        <f t="shared" si="0"/>
        <v/>
      </c>
      <c r="AO27" s="42" t="str">
        <f t="shared" si="0"/>
        <v/>
      </c>
      <c r="AP27" s="42" t="str">
        <f t="shared" si="0"/>
        <v/>
      </c>
      <c r="AQ27" s="42" t="str">
        <f t="shared" si="0"/>
        <v/>
      </c>
      <c r="AR27" s="42" t="str">
        <f t="shared" si="0"/>
        <v/>
      </c>
    </row>
    <row r="28" spans="1:44" s="37" customFormat="1" ht="12.75">
      <c r="A28" s="150"/>
      <c r="B28" s="148"/>
      <c r="C28" s="147"/>
      <c r="D28" s="22"/>
      <c r="E28" s="28"/>
      <c r="F28" s="22"/>
      <c r="G28" s="22"/>
      <c r="H28" s="77"/>
      <c r="I28" s="148"/>
      <c r="J28" s="39"/>
      <c r="K28" s="77"/>
      <c r="L28" s="77"/>
      <c r="M28" s="77"/>
      <c r="N28" s="77"/>
      <c r="O28" s="77"/>
      <c r="P28" s="149"/>
      <c r="Q28" s="29"/>
      <c r="R28" s="82"/>
      <c r="S28" s="28"/>
      <c r="T28" s="28"/>
      <c r="U28" s="28"/>
      <c r="V28" s="28"/>
      <c r="W28" s="28"/>
      <c r="X28" s="23"/>
      <c r="Y28" s="41"/>
      <c r="Z28" s="41"/>
      <c r="AA28" s="40"/>
      <c r="AB28" s="28"/>
      <c r="AC28" s="28"/>
      <c r="AD28" s="28"/>
      <c r="AE28" s="28"/>
      <c r="AF28" s="28"/>
      <c r="AG28" s="24"/>
      <c r="AH28" s="41"/>
      <c r="AI28" s="41"/>
      <c r="AJ28" s="42"/>
      <c r="AK28" s="43"/>
      <c r="AL28" s="43"/>
      <c r="AM28" s="43"/>
      <c r="AN28" s="43"/>
      <c r="AO28" s="43"/>
      <c r="AP28" s="43"/>
      <c r="AQ28" s="44"/>
      <c r="AR28" s="44" t="str">
        <f t="shared" ref="AR28:AR71" si="5">IF(Z28&lt;&gt;"",(AI28-Z28)/Z28,"")</f>
        <v/>
      </c>
    </row>
    <row r="29" spans="1:44" s="37" customFormat="1" ht="12.75">
      <c r="A29" s="150"/>
      <c r="B29" s="148"/>
      <c r="C29" s="147"/>
      <c r="D29" s="22"/>
      <c r="E29" s="28"/>
      <c r="F29" s="22"/>
      <c r="G29" s="22"/>
      <c r="H29" s="77"/>
      <c r="I29" s="148"/>
      <c r="J29" s="39"/>
      <c r="K29" s="77"/>
      <c r="L29" s="77"/>
      <c r="M29" s="77"/>
      <c r="N29" s="77"/>
      <c r="O29" s="77"/>
      <c r="P29" s="149"/>
      <c r="Q29" s="29"/>
      <c r="R29" s="82"/>
      <c r="S29" s="28"/>
      <c r="T29" s="28"/>
      <c r="U29" s="28"/>
      <c r="V29" s="28"/>
      <c r="W29" s="28"/>
      <c r="X29" s="23"/>
      <c r="Y29" s="41"/>
      <c r="Z29" s="41"/>
      <c r="AA29" s="40"/>
      <c r="AB29" s="28"/>
      <c r="AC29" s="28"/>
      <c r="AD29" s="28"/>
      <c r="AE29" s="28"/>
      <c r="AF29" s="28"/>
      <c r="AG29" s="24"/>
      <c r="AH29" s="41"/>
      <c r="AI29" s="41"/>
      <c r="AJ29" s="42"/>
      <c r="AK29" s="43"/>
      <c r="AL29" s="43"/>
      <c r="AM29" s="43"/>
      <c r="AN29" s="43"/>
      <c r="AO29" s="43"/>
      <c r="AP29" s="43"/>
      <c r="AQ29" s="44"/>
      <c r="AR29" s="44" t="str">
        <f t="shared" si="5"/>
        <v/>
      </c>
    </row>
    <row r="30" spans="1:44" s="37" customFormat="1" ht="12.75">
      <c r="A30" s="150"/>
      <c r="B30" s="148"/>
      <c r="C30" s="147"/>
      <c r="D30" s="22"/>
      <c r="E30" s="28"/>
      <c r="F30" s="22"/>
      <c r="G30" s="22"/>
      <c r="H30" s="77"/>
      <c r="I30" s="148"/>
      <c r="J30" s="39"/>
      <c r="K30" s="77"/>
      <c r="L30" s="77"/>
      <c r="M30" s="77"/>
      <c r="N30" s="77"/>
      <c r="O30" s="77"/>
      <c r="P30" s="149"/>
      <c r="Q30" s="29"/>
      <c r="R30" s="82"/>
      <c r="S30" s="28"/>
      <c r="T30" s="28"/>
      <c r="U30" s="28"/>
      <c r="V30" s="28"/>
      <c r="W30" s="28"/>
      <c r="X30" s="23"/>
      <c r="Y30" s="41"/>
      <c r="Z30" s="41"/>
      <c r="AA30" s="40"/>
      <c r="AB30" s="28"/>
      <c r="AC30" s="28"/>
      <c r="AD30" s="28"/>
      <c r="AE30" s="28"/>
      <c r="AF30" s="28"/>
      <c r="AG30" s="24"/>
      <c r="AH30" s="41"/>
      <c r="AI30" s="41"/>
      <c r="AJ30" s="42"/>
      <c r="AK30" s="43"/>
      <c r="AL30" s="43"/>
      <c r="AM30" s="43"/>
      <c r="AN30" s="43"/>
      <c r="AO30" s="43"/>
      <c r="AP30" s="43"/>
      <c r="AQ30" s="44"/>
      <c r="AR30" s="44" t="str">
        <f t="shared" si="5"/>
        <v/>
      </c>
    </row>
    <row r="31" spans="1:44" s="37" customFormat="1" ht="12.75">
      <c r="A31" s="150"/>
      <c r="B31" s="148"/>
      <c r="C31" s="147"/>
      <c r="D31" s="22"/>
      <c r="E31" s="28"/>
      <c r="F31" s="22"/>
      <c r="G31" s="22"/>
      <c r="H31" s="77"/>
      <c r="I31" s="148"/>
      <c r="J31" s="39"/>
      <c r="K31" s="77"/>
      <c r="L31" s="77"/>
      <c r="M31" s="77"/>
      <c r="N31" s="77"/>
      <c r="O31" s="77"/>
      <c r="P31" s="149"/>
      <c r="Q31" s="29"/>
      <c r="R31" s="82"/>
      <c r="S31" s="28"/>
      <c r="T31" s="28"/>
      <c r="U31" s="28"/>
      <c r="V31" s="28"/>
      <c r="W31" s="28"/>
      <c r="X31" s="23"/>
      <c r="Y31" s="41"/>
      <c r="Z31" s="41"/>
      <c r="AA31" s="40"/>
      <c r="AB31" s="28"/>
      <c r="AC31" s="28"/>
      <c r="AD31" s="28"/>
      <c r="AE31" s="28"/>
      <c r="AF31" s="28"/>
      <c r="AG31" s="24"/>
      <c r="AH31" s="41"/>
      <c r="AI31" s="41"/>
      <c r="AJ31" s="42"/>
      <c r="AK31" s="43"/>
      <c r="AL31" s="43"/>
      <c r="AM31" s="43"/>
      <c r="AN31" s="43"/>
      <c r="AO31" s="43"/>
      <c r="AP31" s="43"/>
      <c r="AQ31" s="44"/>
      <c r="AR31" s="44" t="str">
        <f t="shared" si="5"/>
        <v/>
      </c>
    </row>
    <row r="32" spans="1:44" s="37" customFormat="1" ht="12.75">
      <c r="A32" s="150"/>
      <c r="B32" s="148"/>
      <c r="C32" s="147"/>
      <c r="D32" s="152"/>
      <c r="E32" s="54"/>
      <c r="F32" s="55"/>
      <c r="G32" s="153"/>
      <c r="H32" s="77"/>
      <c r="I32" s="148"/>
      <c r="J32" s="39"/>
      <c r="K32" s="77"/>
      <c r="L32" s="77"/>
      <c r="M32" s="77"/>
      <c r="N32" s="77"/>
      <c r="O32" s="77"/>
      <c r="P32" s="149"/>
      <c r="Q32" s="29"/>
      <c r="R32" s="82"/>
      <c r="S32" s="56"/>
      <c r="T32" s="56"/>
      <c r="U32" s="56"/>
      <c r="V32" s="56"/>
      <c r="W32" s="56"/>
      <c r="X32" s="56"/>
      <c r="Y32" s="41"/>
      <c r="Z32" s="41"/>
      <c r="AA32" s="40"/>
      <c r="AB32" s="39"/>
      <c r="AC32" s="39"/>
      <c r="AD32" s="39"/>
      <c r="AE32" s="39"/>
      <c r="AF32" s="39"/>
      <c r="AG32" s="39"/>
      <c r="AH32" s="41"/>
      <c r="AI32" s="41"/>
      <c r="AJ32" s="42"/>
      <c r="AK32" s="43"/>
      <c r="AL32" s="43"/>
      <c r="AM32" s="43"/>
      <c r="AN32" s="43"/>
      <c r="AO32" s="43"/>
      <c r="AP32" s="43"/>
      <c r="AQ32" s="44"/>
      <c r="AR32" s="44" t="str">
        <f t="shared" si="5"/>
        <v/>
      </c>
    </row>
    <row r="33" spans="1:44" s="37" customFormat="1" ht="12.75">
      <c r="A33" s="150"/>
      <c r="B33" s="148"/>
      <c r="C33" s="147"/>
      <c r="D33" s="22"/>
      <c r="E33" s="28"/>
      <c r="F33" s="22"/>
      <c r="G33" s="22"/>
      <c r="H33" s="77"/>
      <c r="I33" s="148"/>
      <c r="J33" s="39"/>
      <c r="K33" s="77"/>
      <c r="L33" s="77"/>
      <c r="M33" s="77"/>
      <c r="N33" s="77"/>
      <c r="O33" s="77"/>
      <c r="P33" s="149"/>
      <c r="Q33" s="29"/>
      <c r="R33" s="82"/>
      <c r="S33" s="28"/>
      <c r="T33" s="28"/>
      <c r="U33" s="28"/>
      <c r="V33" s="28"/>
      <c r="W33" s="28"/>
      <c r="X33" s="23"/>
      <c r="Y33" s="41"/>
      <c r="Z33" s="41"/>
      <c r="AA33" s="40"/>
      <c r="AB33" s="28"/>
      <c r="AC33" s="28"/>
      <c r="AD33" s="28"/>
      <c r="AE33" s="28"/>
      <c r="AF33" s="28"/>
      <c r="AG33" s="24"/>
      <c r="AH33" s="41"/>
      <c r="AI33" s="41"/>
      <c r="AJ33" s="42"/>
      <c r="AK33" s="43"/>
      <c r="AL33" s="43"/>
      <c r="AM33" s="43"/>
      <c r="AN33" s="43"/>
      <c r="AO33" s="43"/>
      <c r="AP33" s="43"/>
      <c r="AQ33" s="44"/>
      <c r="AR33" s="44" t="str">
        <f t="shared" si="5"/>
        <v/>
      </c>
    </row>
    <row r="34" spans="1:44" s="37" customFormat="1" ht="12.75">
      <c r="A34" s="150"/>
      <c r="B34" s="148"/>
      <c r="C34" s="147"/>
      <c r="D34" s="22"/>
      <c r="E34" s="28"/>
      <c r="F34" s="22"/>
      <c r="G34" s="22"/>
      <c r="H34" s="77"/>
      <c r="I34" s="148"/>
      <c r="J34" s="39"/>
      <c r="K34" s="77"/>
      <c r="L34" s="77"/>
      <c r="M34" s="77"/>
      <c r="N34" s="77"/>
      <c r="O34" s="77"/>
      <c r="P34" s="149"/>
      <c r="Q34" s="29"/>
      <c r="R34" s="82"/>
      <c r="S34" s="28"/>
      <c r="T34" s="28"/>
      <c r="U34" s="28"/>
      <c r="V34" s="28"/>
      <c r="W34" s="28"/>
      <c r="X34" s="23"/>
      <c r="Y34" s="41"/>
      <c r="Z34" s="41"/>
      <c r="AA34" s="40"/>
      <c r="AB34" s="28"/>
      <c r="AC34" s="28"/>
      <c r="AD34" s="28"/>
      <c r="AE34" s="28"/>
      <c r="AF34" s="83"/>
      <c r="AG34" s="24"/>
      <c r="AH34" s="41"/>
      <c r="AI34" s="41"/>
      <c r="AJ34" s="42"/>
      <c r="AK34" s="43"/>
      <c r="AL34" s="43"/>
      <c r="AM34" s="43"/>
      <c r="AN34" s="43"/>
      <c r="AO34" s="43"/>
      <c r="AP34" s="43"/>
      <c r="AQ34" s="44"/>
      <c r="AR34" s="44" t="str">
        <f t="shared" si="5"/>
        <v/>
      </c>
    </row>
    <row r="35" spans="1:44" s="37" customFormat="1" ht="12.75">
      <c r="A35" s="150"/>
      <c r="B35" s="148"/>
      <c r="C35" s="147"/>
      <c r="D35" s="22"/>
      <c r="E35" s="28"/>
      <c r="F35" s="22"/>
      <c r="G35" s="22"/>
      <c r="H35" s="77"/>
      <c r="I35" s="148"/>
      <c r="J35" s="39"/>
      <c r="K35" s="77"/>
      <c r="L35" s="77"/>
      <c r="M35" s="77"/>
      <c r="N35" s="77"/>
      <c r="O35" s="77"/>
      <c r="P35" s="149"/>
      <c r="Q35" s="29"/>
      <c r="R35" s="82"/>
      <c r="S35" s="28"/>
      <c r="T35" s="28"/>
      <c r="U35" s="28"/>
      <c r="V35" s="28"/>
      <c r="W35" s="28"/>
      <c r="X35" s="23"/>
      <c r="Y35" s="41"/>
      <c r="Z35" s="41"/>
      <c r="AA35" s="40"/>
      <c r="AB35" s="28"/>
      <c r="AC35" s="28"/>
      <c r="AD35" s="28"/>
      <c r="AE35" s="28"/>
      <c r="AF35" s="28"/>
      <c r="AG35" s="24"/>
      <c r="AH35" s="41"/>
      <c r="AI35" s="41"/>
      <c r="AJ35" s="42"/>
      <c r="AK35" s="43"/>
      <c r="AL35" s="43"/>
      <c r="AM35" s="43"/>
      <c r="AN35" s="43"/>
      <c r="AO35" s="43"/>
      <c r="AP35" s="43"/>
      <c r="AQ35" s="44"/>
      <c r="AR35" s="44" t="str">
        <f t="shared" si="5"/>
        <v/>
      </c>
    </row>
    <row r="36" spans="1:44" s="37" customFormat="1" ht="12.75">
      <c r="A36" s="150"/>
      <c r="B36" s="148"/>
      <c r="C36" s="147"/>
      <c r="D36" s="22"/>
      <c r="E36" s="28"/>
      <c r="F36" s="22"/>
      <c r="G36" s="22"/>
      <c r="H36" s="77"/>
      <c r="I36" s="148"/>
      <c r="J36" s="39"/>
      <c r="K36" s="77"/>
      <c r="L36" s="77"/>
      <c r="M36" s="77"/>
      <c r="N36" s="77"/>
      <c r="O36" s="77"/>
      <c r="P36" s="149"/>
      <c r="Q36" s="29"/>
      <c r="R36" s="82"/>
      <c r="S36" s="28"/>
      <c r="T36" s="28"/>
      <c r="U36" s="28"/>
      <c r="V36" s="28"/>
      <c r="W36" s="28"/>
      <c r="X36" s="23"/>
      <c r="Y36" s="41"/>
      <c r="Z36" s="41"/>
      <c r="AA36" s="40"/>
      <c r="AB36" s="28"/>
      <c r="AC36" s="28"/>
      <c r="AD36" s="28"/>
      <c r="AE36" s="28"/>
      <c r="AF36" s="28"/>
      <c r="AG36" s="24"/>
      <c r="AH36" s="41"/>
      <c r="AI36" s="41"/>
      <c r="AJ36" s="42"/>
      <c r="AK36" s="43"/>
      <c r="AL36" s="43"/>
      <c r="AM36" s="43"/>
      <c r="AN36" s="43"/>
      <c r="AO36" s="43"/>
      <c r="AP36" s="43"/>
      <c r="AQ36" s="44"/>
      <c r="AR36" s="44" t="str">
        <f t="shared" si="5"/>
        <v/>
      </c>
    </row>
    <row r="37" spans="1:44" ht="12.75">
      <c r="A37" s="150"/>
      <c r="B37" s="148"/>
      <c r="C37" s="147"/>
      <c r="D37" s="22"/>
      <c r="E37" s="28"/>
      <c r="F37" s="22"/>
      <c r="G37" s="22"/>
      <c r="H37" s="77"/>
      <c r="I37" s="148"/>
      <c r="J37" s="39"/>
      <c r="K37" s="77"/>
      <c r="L37" s="77"/>
      <c r="M37" s="77"/>
      <c r="N37" s="77"/>
      <c r="O37" s="77"/>
      <c r="P37" s="149"/>
      <c r="Q37" s="29"/>
      <c r="R37" s="82"/>
      <c r="S37" s="28"/>
      <c r="T37" s="28"/>
      <c r="U37" s="28"/>
      <c r="V37" s="28"/>
      <c r="W37" s="28"/>
      <c r="X37" s="23"/>
      <c r="Y37" s="41"/>
      <c r="Z37" s="41"/>
      <c r="AA37" s="40"/>
      <c r="AB37" s="28"/>
      <c r="AC37" s="28"/>
      <c r="AD37" s="28"/>
      <c r="AE37" s="28"/>
      <c r="AF37" s="28"/>
      <c r="AG37" s="24"/>
      <c r="AH37" s="41"/>
      <c r="AI37" s="41"/>
      <c r="AJ37" s="42"/>
      <c r="AK37" s="43"/>
      <c r="AL37" s="43"/>
      <c r="AM37" s="43"/>
      <c r="AN37" s="43"/>
      <c r="AO37" s="43"/>
      <c r="AP37" s="43"/>
      <c r="AQ37" s="44"/>
      <c r="AR37" s="44" t="str">
        <f t="shared" si="5"/>
        <v/>
      </c>
    </row>
    <row r="38" spans="1:44" ht="12.75">
      <c r="A38" s="150"/>
      <c r="B38" s="148"/>
      <c r="C38" s="147"/>
      <c r="D38" s="22"/>
      <c r="E38" s="28"/>
      <c r="F38" s="22"/>
      <c r="G38" s="22"/>
      <c r="H38" s="77"/>
      <c r="I38" s="148"/>
      <c r="J38" s="39"/>
      <c r="K38" s="77"/>
      <c r="L38" s="77"/>
      <c r="M38" s="77"/>
      <c r="N38" s="77"/>
      <c r="O38" s="77"/>
      <c r="P38" s="149"/>
      <c r="Q38" s="29"/>
      <c r="R38" s="82"/>
      <c r="S38" s="28"/>
      <c r="T38" s="28"/>
      <c r="U38" s="28"/>
      <c r="V38" s="28"/>
      <c r="W38" s="28"/>
      <c r="X38" s="23"/>
      <c r="Y38" s="41"/>
      <c r="Z38" s="41"/>
      <c r="AA38" s="40"/>
      <c r="AB38" s="28"/>
      <c r="AC38" s="28"/>
      <c r="AD38" s="28"/>
      <c r="AE38" s="28"/>
      <c r="AF38" s="28"/>
      <c r="AG38" s="24"/>
      <c r="AH38" s="41"/>
      <c r="AI38" s="41"/>
      <c r="AJ38" s="42"/>
      <c r="AK38" s="43"/>
      <c r="AL38" s="43"/>
      <c r="AM38" s="43"/>
      <c r="AN38" s="43"/>
      <c r="AO38" s="43"/>
      <c r="AP38" s="43"/>
      <c r="AQ38" s="44"/>
      <c r="AR38" s="44" t="str">
        <f t="shared" si="5"/>
        <v/>
      </c>
    </row>
    <row r="39" spans="1:44" ht="12.75">
      <c r="A39" s="150"/>
      <c r="B39" s="148"/>
      <c r="C39" s="147"/>
      <c r="D39" s="22"/>
      <c r="E39" s="28"/>
      <c r="F39" s="22"/>
      <c r="G39" s="22"/>
      <c r="H39" s="77"/>
      <c r="I39" s="148"/>
      <c r="J39" s="39"/>
      <c r="K39" s="77"/>
      <c r="L39" s="77"/>
      <c r="M39" s="77"/>
      <c r="N39" s="77"/>
      <c r="O39" s="77"/>
      <c r="P39" s="149"/>
      <c r="Q39" s="29"/>
      <c r="R39" s="82"/>
      <c r="S39" s="28"/>
      <c r="T39" s="28"/>
      <c r="U39" s="28"/>
      <c r="V39" s="28"/>
      <c r="W39" s="28"/>
      <c r="X39" s="23"/>
      <c r="Y39" s="41"/>
      <c r="Z39" s="41"/>
      <c r="AA39" s="40"/>
      <c r="AB39" s="28"/>
      <c r="AC39" s="28"/>
      <c r="AD39" s="28"/>
      <c r="AE39" s="28"/>
      <c r="AF39" s="28"/>
      <c r="AG39" s="24"/>
      <c r="AH39" s="41"/>
      <c r="AI39" s="41"/>
      <c r="AJ39" s="42"/>
      <c r="AK39" s="43"/>
      <c r="AL39" s="43"/>
      <c r="AM39" s="43"/>
      <c r="AN39" s="43"/>
      <c r="AO39" s="43"/>
      <c r="AP39" s="43"/>
      <c r="AQ39" s="44"/>
      <c r="AR39" s="44" t="str">
        <f t="shared" si="5"/>
        <v/>
      </c>
    </row>
    <row r="40" spans="1:44" ht="12.75">
      <c r="A40" s="150"/>
      <c r="B40" s="148"/>
      <c r="C40" s="147"/>
      <c r="D40" s="22"/>
      <c r="E40" s="28"/>
      <c r="F40" s="22"/>
      <c r="G40" s="22"/>
      <c r="H40" s="77"/>
      <c r="I40" s="148"/>
      <c r="J40" s="39"/>
      <c r="K40" s="77"/>
      <c r="L40" s="77"/>
      <c r="M40" s="77"/>
      <c r="N40" s="77"/>
      <c r="O40" s="77"/>
      <c r="P40" s="149"/>
      <c r="Q40" s="29"/>
      <c r="R40" s="82"/>
      <c r="S40" s="28"/>
      <c r="T40" s="28"/>
      <c r="U40" s="28"/>
      <c r="V40" s="28"/>
      <c r="W40" s="28"/>
      <c r="X40" s="23"/>
      <c r="Y40" s="41"/>
      <c r="Z40" s="41"/>
      <c r="AA40" s="40"/>
      <c r="AB40" s="28"/>
      <c r="AC40" s="28"/>
      <c r="AD40" s="28"/>
      <c r="AE40" s="28"/>
      <c r="AF40" s="28"/>
      <c r="AG40" s="24"/>
      <c r="AH40" s="41"/>
      <c r="AI40" s="41"/>
      <c r="AJ40" s="42"/>
      <c r="AK40" s="43"/>
      <c r="AL40" s="43"/>
      <c r="AM40" s="43"/>
      <c r="AN40" s="43"/>
      <c r="AO40" s="43"/>
      <c r="AP40" s="43"/>
      <c r="AQ40" s="44"/>
      <c r="AR40" s="44" t="str">
        <f t="shared" si="5"/>
        <v/>
      </c>
    </row>
    <row r="41" spans="1:44" ht="12.75">
      <c r="A41" s="150"/>
      <c r="B41" s="148"/>
      <c r="C41" s="147"/>
      <c r="D41" s="22"/>
      <c r="E41" s="28"/>
      <c r="F41" s="22"/>
      <c r="G41" s="22"/>
      <c r="H41" s="77"/>
      <c r="I41" s="148"/>
      <c r="J41" s="39"/>
      <c r="K41" s="77"/>
      <c r="L41" s="77"/>
      <c r="M41" s="77"/>
      <c r="N41" s="77"/>
      <c r="O41" s="77"/>
      <c r="P41" s="149"/>
      <c r="Q41" s="29"/>
      <c r="R41" s="82"/>
      <c r="S41" s="28"/>
      <c r="T41" s="28"/>
      <c r="U41" s="28"/>
      <c r="V41" s="28"/>
      <c r="W41" s="28"/>
      <c r="X41" s="23"/>
      <c r="Y41" s="41"/>
      <c r="Z41" s="41"/>
      <c r="AA41" s="40"/>
      <c r="AB41" s="28"/>
      <c r="AC41" s="28"/>
      <c r="AD41" s="28"/>
      <c r="AE41" s="28"/>
      <c r="AF41" s="28"/>
      <c r="AG41" s="24"/>
      <c r="AH41" s="41"/>
      <c r="AI41" s="41"/>
      <c r="AJ41" s="42"/>
      <c r="AK41" s="43"/>
      <c r="AL41" s="43"/>
      <c r="AM41" s="43"/>
      <c r="AN41" s="43"/>
      <c r="AO41" s="43"/>
      <c r="AP41" s="43"/>
      <c r="AQ41" s="44"/>
      <c r="AR41" s="44" t="str">
        <f t="shared" si="5"/>
        <v/>
      </c>
    </row>
    <row r="42" spans="1:44" ht="12.75">
      <c r="A42" s="150"/>
      <c r="B42" s="148"/>
      <c r="C42" s="147"/>
      <c r="D42" s="22"/>
      <c r="E42" s="28"/>
      <c r="F42" s="22"/>
      <c r="G42" s="22"/>
      <c r="H42" s="77"/>
      <c r="I42" s="148"/>
      <c r="J42" s="39"/>
      <c r="K42" s="77"/>
      <c r="L42" s="77"/>
      <c r="M42" s="77"/>
      <c r="N42" s="77"/>
      <c r="O42" s="77"/>
      <c r="P42" s="149"/>
      <c r="Q42" s="29"/>
      <c r="R42" s="82"/>
      <c r="S42" s="28"/>
      <c r="T42" s="28"/>
      <c r="U42" s="28"/>
      <c r="V42" s="28"/>
      <c r="W42" s="28"/>
      <c r="X42" s="23"/>
      <c r="Y42" s="41"/>
      <c r="Z42" s="41"/>
      <c r="AA42" s="40"/>
      <c r="AB42" s="28"/>
      <c r="AC42" s="28"/>
      <c r="AD42" s="28"/>
      <c r="AE42" s="28"/>
      <c r="AF42" s="28"/>
      <c r="AG42" s="24"/>
      <c r="AH42" s="41"/>
      <c r="AI42" s="41"/>
      <c r="AJ42" s="42"/>
      <c r="AK42" s="43"/>
      <c r="AL42" s="43"/>
      <c r="AM42" s="43"/>
      <c r="AN42" s="43"/>
      <c r="AO42" s="43"/>
      <c r="AP42" s="43"/>
      <c r="AQ42" s="44"/>
      <c r="AR42" s="44" t="str">
        <f t="shared" si="5"/>
        <v/>
      </c>
    </row>
    <row r="43" spans="1:44" ht="12.75">
      <c r="A43" s="150"/>
      <c r="B43" s="148"/>
      <c r="C43" s="147"/>
      <c r="D43" s="22"/>
      <c r="E43" s="28"/>
      <c r="F43" s="22"/>
      <c r="G43" s="22"/>
      <c r="H43" s="77"/>
      <c r="I43" s="148"/>
      <c r="J43" s="39"/>
      <c r="K43" s="77"/>
      <c r="L43" s="77"/>
      <c r="M43" s="77"/>
      <c r="N43" s="77"/>
      <c r="O43" s="77"/>
      <c r="P43" s="149"/>
      <c r="Q43" s="29"/>
      <c r="R43" s="82"/>
      <c r="S43" s="28"/>
      <c r="T43" s="28"/>
      <c r="U43" s="28"/>
      <c r="V43" s="28"/>
      <c r="W43" s="28"/>
      <c r="X43" s="23"/>
      <c r="Y43" s="41"/>
      <c r="Z43" s="41"/>
      <c r="AA43" s="40"/>
      <c r="AB43" s="28"/>
      <c r="AC43" s="28"/>
      <c r="AD43" s="28"/>
      <c r="AE43" s="28"/>
      <c r="AF43" s="28"/>
      <c r="AG43" s="24"/>
      <c r="AH43" s="41"/>
      <c r="AI43" s="41"/>
      <c r="AJ43" s="42"/>
      <c r="AK43" s="43"/>
      <c r="AL43" s="43"/>
      <c r="AM43" s="43"/>
      <c r="AN43" s="43"/>
      <c r="AO43" s="43"/>
      <c r="AP43" s="43"/>
      <c r="AQ43" s="44"/>
      <c r="AR43" s="44" t="str">
        <f t="shared" si="5"/>
        <v/>
      </c>
    </row>
    <row r="44" spans="1:44" ht="12.75">
      <c r="A44" s="150"/>
      <c r="B44" s="148"/>
      <c r="C44" s="147"/>
      <c r="D44" s="22"/>
      <c r="E44" s="28"/>
      <c r="F44" s="22"/>
      <c r="G44" s="22"/>
      <c r="H44" s="77"/>
      <c r="I44" s="148"/>
      <c r="J44" s="39"/>
      <c r="K44" s="77"/>
      <c r="L44" s="77"/>
      <c r="M44" s="77"/>
      <c r="N44" s="77"/>
      <c r="O44" s="77"/>
      <c r="P44" s="149"/>
      <c r="Q44" s="29"/>
      <c r="R44" s="82"/>
      <c r="S44" s="28"/>
      <c r="T44" s="28"/>
      <c r="U44" s="28"/>
      <c r="V44" s="28"/>
      <c r="W44" s="28"/>
      <c r="X44" s="23"/>
      <c r="Y44" s="41"/>
      <c r="Z44" s="41"/>
      <c r="AA44" s="40"/>
      <c r="AB44" s="39"/>
      <c r="AC44" s="39"/>
      <c r="AD44" s="39"/>
      <c r="AE44" s="39"/>
      <c r="AF44" s="39"/>
      <c r="AG44" s="24"/>
      <c r="AH44" s="41"/>
      <c r="AI44" s="41"/>
      <c r="AJ44" s="42"/>
      <c r="AK44" s="43"/>
      <c r="AL44" s="43"/>
      <c r="AM44" s="43"/>
      <c r="AN44" s="43"/>
      <c r="AO44" s="43"/>
      <c r="AP44" s="43"/>
      <c r="AQ44" s="44"/>
      <c r="AR44" s="44" t="str">
        <f t="shared" si="5"/>
        <v/>
      </c>
    </row>
    <row r="45" spans="1:44" ht="12.75">
      <c r="A45" s="150"/>
      <c r="B45" s="148"/>
      <c r="C45" s="147"/>
      <c r="D45" s="22"/>
      <c r="E45" s="28"/>
      <c r="F45" s="22"/>
      <c r="G45" s="22"/>
      <c r="H45" s="77"/>
      <c r="I45" s="148"/>
      <c r="J45" s="39"/>
      <c r="K45" s="77"/>
      <c r="L45" s="77"/>
      <c r="M45" s="77"/>
      <c r="N45" s="77"/>
      <c r="O45" s="77"/>
      <c r="P45" s="149"/>
      <c r="Q45" s="29"/>
      <c r="R45" s="82"/>
      <c r="S45" s="28"/>
      <c r="T45" s="28"/>
      <c r="U45" s="151"/>
      <c r="V45" s="28"/>
      <c r="W45" s="28"/>
      <c r="X45" s="23"/>
      <c r="Y45" s="41"/>
      <c r="Z45" s="41"/>
      <c r="AA45" s="40"/>
      <c r="AB45" s="28"/>
      <c r="AC45" s="28"/>
      <c r="AD45" s="28"/>
      <c r="AE45" s="28"/>
      <c r="AF45" s="83"/>
      <c r="AG45" s="24"/>
      <c r="AH45" s="41"/>
      <c r="AI45" s="41"/>
      <c r="AJ45" s="42"/>
      <c r="AK45" s="43"/>
      <c r="AL45" s="43"/>
      <c r="AM45" s="43"/>
      <c r="AN45" s="43"/>
      <c r="AO45" s="43"/>
      <c r="AP45" s="43"/>
      <c r="AQ45" s="44"/>
      <c r="AR45" s="44" t="str">
        <f t="shared" si="5"/>
        <v/>
      </c>
    </row>
    <row r="46" spans="1:44" ht="12.75">
      <c r="A46" s="150"/>
      <c r="B46" s="148"/>
      <c r="C46" s="147"/>
      <c r="D46" s="22"/>
      <c r="E46" s="28"/>
      <c r="F46" s="22"/>
      <c r="G46" s="22"/>
      <c r="H46" s="77"/>
      <c r="I46" s="148"/>
      <c r="J46" s="39"/>
      <c r="K46" s="77"/>
      <c r="L46" s="77"/>
      <c r="M46" s="77"/>
      <c r="N46" s="77"/>
      <c r="O46" s="77"/>
      <c r="P46" s="149"/>
      <c r="Q46" s="29"/>
      <c r="R46" s="82"/>
      <c r="S46" s="28"/>
      <c r="T46" s="28"/>
      <c r="U46" s="28"/>
      <c r="V46" s="28"/>
      <c r="W46" s="28"/>
      <c r="X46" s="23"/>
      <c r="Y46" s="41"/>
      <c r="Z46" s="41"/>
      <c r="AA46" s="40"/>
      <c r="AB46" s="39"/>
      <c r="AC46" s="39"/>
      <c r="AD46" s="39"/>
      <c r="AE46" s="39"/>
      <c r="AF46" s="39"/>
      <c r="AG46" s="24"/>
      <c r="AH46" s="41"/>
      <c r="AI46" s="41"/>
      <c r="AJ46" s="42"/>
      <c r="AK46" s="43"/>
      <c r="AL46" s="43"/>
      <c r="AM46" s="43"/>
      <c r="AN46" s="43"/>
      <c r="AO46" s="43"/>
      <c r="AP46" s="43"/>
      <c r="AQ46" s="44"/>
      <c r="AR46" s="44" t="str">
        <f t="shared" si="5"/>
        <v/>
      </c>
    </row>
    <row r="47" spans="1:44" ht="12.75">
      <c r="A47" s="150"/>
      <c r="B47" s="148"/>
      <c r="C47" s="147"/>
      <c r="D47" s="152"/>
      <c r="E47" s="54"/>
      <c r="F47" s="55"/>
      <c r="G47" s="153"/>
      <c r="H47" s="77"/>
      <c r="I47" s="148"/>
      <c r="J47" s="39"/>
      <c r="K47" s="77"/>
      <c r="L47" s="77"/>
      <c r="M47" s="77"/>
      <c r="N47" s="77"/>
      <c r="O47" s="77"/>
      <c r="P47" s="149"/>
      <c r="Q47" s="29"/>
      <c r="R47" s="82"/>
      <c r="S47" s="57"/>
      <c r="T47" s="57"/>
      <c r="U47" s="57"/>
      <c r="V47" s="57"/>
      <c r="W47" s="57"/>
      <c r="X47" s="57"/>
      <c r="Y47" s="41"/>
      <c r="Z47" s="41"/>
      <c r="AA47" s="40"/>
      <c r="AB47" s="28"/>
      <c r="AC47" s="28"/>
      <c r="AD47" s="28"/>
      <c r="AE47" s="28"/>
      <c r="AF47" s="28"/>
      <c r="AG47" s="39"/>
      <c r="AH47" s="41"/>
      <c r="AI47" s="41"/>
      <c r="AJ47" s="42"/>
      <c r="AK47" s="43"/>
      <c r="AL47" s="43"/>
      <c r="AM47" s="43"/>
      <c r="AN47" s="43"/>
      <c r="AO47" s="43"/>
      <c r="AP47" s="43"/>
      <c r="AQ47" s="44"/>
      <c r="AR47" s="44" t="str">
        <f t="shared" si="5"/>
        <v/>
      </c>
    </row>
    <row r="48" spans="1:44" ht="12.75">
      <c r="A48" s="150"/>
      <c r="B48" s="148"/>
      <c r="C48" s="147"/>
      <c r="D48" s="152"/>
      <c r="E48" s="54"/>
      <c r="F48" s="55"/>
      <c r="G48" s="153"/>
      <c r="H48" s="77"/>
      <c r="I48" s="148"/>
      <c r="J48" s="39"/>
      <c r="K48" s="77"/>
      <c r="L48" s="77"/>
      <c r="M48" s="77"/>
      <c r="N48" s="77"/>
      <c r="O48" s="77"/>
      <c r="P48" s="149"/>
      <c r="Q48" s="29"/>
      <c r="R48" s="82"/>
      <c r="S48" s="57"/>
      <c r="T48" s="57"/>
      <c r="U48" s="57"/>
      <c r="V48" s="57"/>
      <c r="W48" s="57"/>
      <c r="X48" s="57"/>
      <c r="Y48" s="41"/>
      <c r="Z48" s="41"/>
      <c r="AA48" s="40"/>
      <c r="AB48" s="28"/>
      <c r="AC48" s="28"/>
      <c r="AD48" s="28"/>
      <c r="AE48" s="28"/>
      <c r="AF48" s="28"/>
      <c r="AG48" s="39"/>
      <c r="AH48" s="41"/>
      <c r="AI48" s="41"/>
      <c r="AJ48" s="42"/>
      <c r="AK48" s="43"/>
      <c r="AL48" s="43"/>
      <c r="AM48" s="43"/>
      <c r="AN48" s="43"/>
      <c r="AO48" s="43"/>
      <c r="AP48" s="43"/>
      <c r="AQ48" s="44"/>
      <c r="AR48" s="44" t="str">
        <f t="shared" si="5"/>
        <v/>
      </c>
    </row>
    <row r="49" spans="1:44" ht="12.75">
      <c r="A49" s="141"/>
      <c r="B49" s="142"/>
      <c r="C49" s="143"/>
      <c r="I49" s="142"/>
      <c r="K49"/>
      <c r="L49"/>
      <c r="M49"/>
      <c r="N49"/>
      <c r="O49"/>
      <c r="R49" s="144"/>
      <c r="S49" s="141"/>
      <c r="T49" s="141"/>
      <c r="U49" s="141"/>
      <c r="V49" s="141"/>
      <c r="W49" s="141"/>
      <c r="X49" s="141"/>
      <c r="Y49" s="41"/>
      <c r="Z49" s="41"/>
      <c r="AA49" s="40"/>
      <c r="AB49"/>
      <c r="AC49"/>
      <c r="AD49"/>
      <c r="AE49"/>
      <c r="AF49"/>
      <c r="AG49"/>
      <c r="AH49" s="41"/>
      <c r="AI49" s="41"/>
      <c r="AJ49" s="42"/>
      <c r="AK49" s="43"/>
      <c r="AL49" s="43"/>
      <c r="AM49" s="43"/>
      <c r="AN49" s="43"/>
      <c r="AO49" s="43"/>
      <c r="AP49" s="43"/>
      <c r="AQ49" s="44"/>
      <c r="AR49" s="44" t="str">
        <f t="shared" si="5"/>
        <v/>
      </c>
    </row>
    <row r="50" spans="1:44" ht="12.75">
      <c r="A50" s="141"/>
      <c r="B50" s="142"/>
      <c r="C50" s="143"/>
      <c r="I50" s="142"/>
      <c r="K50"/>
      <c r="L50"/>
      <c r="M50"/>
      <c r="N50"/>
      <c r="O50"/>
      <c r="R50" s="82"/>
      <c r="S50" s="141"/>
      <c r="T50" s="141"/>
      <c r="U50" s="141"/>
      <c r="V50" s="141"/>
      <c r="W50" s="141"/>
      <c r="X50" s="141"/>
      <c r="Y50" s="41"/>
      <c r="Z50" s="41"/>
      <c r="AA50" s="40"/>
      <c r="AB50"/>
      <c r="AC50"/>
      <c r="AD50"/>
      <c r="AE50"/>
      <c r="AF50"/>
      <c r="AG50"/>
      <c r="AH50" s="41"/>
      <c r="AI50" s="41"/>
      <c r="AJ50" s="42"/>
      <c r="AK50" s="43"/>
      <c r="AL50" s="43"/>
      <c r="AM50" s="43"/>
      <c r="AN50" s="43"/>
      <c r="AO50" s="43"/>
      <c r="AP50" s="43"/>
      <c r="AQ50" s="44"/>
      <c r="AR50" s="44" t="str">
        <f t="shared" si="5"/>
        <v/>
      </c>
    </row>
    <row r="51" spans="1:44" ht="12.75">
      <c r="A51" s="141"/>
      <c r="B51" s="142"/>
      <c r="C51" s="143"/>
      <c r="I51" s="142"/>
      <c r="K51"/>
      <c r="L51"/>
      <c r="M51"/>
      <c r="N51"/>
      <c r="O51"/>
      <c r="R51" s="82"/>
      <c r="S51" s="141"/>
      <c r="T51" s="141"/>
      <c r="U51" s="141"/>
      <c r="V51" s="141"/>
      <c r="W51" s="141"/>
      <c r="X51" s="141"/>
      <c r="Y51" s="41"/>
      <c r="Z51" s="41"/>
      <c r="AA51" s="40"/>
      <c r="AB51"/>
      <c r="AC51"/>
      <c r="AD51"/>
      <c r="AE51"/>
      <c r="AF51"/>
      <c r="AG51"/>
      <c r="AH51" s="41"/>
      <c r="AI51" s="41"/>
      <c r="AJ51" s="42"/>
      <c r="AK51" s="43"/>
      <c r="AL51" s="43"/>
      <c r="AM51" s="43"/>
      <c r="AN51" s="43"/>
      <c r="AO51" s="43"/>
      <c r="AP51" s="43"/>
      <c r="AQ51" s="44"/>
      <c r="AR51" s="44" t="str">
        <f t="shared" si="5"/>
        <v/>
      </c>
    </row>
    <row r="52" spans="1:44" ht="12.75">
      <c r="A52" s="141"/>
      <c r="B52" s="142"/>
      <c r="C52" s="143"/>
      <c r="I52" s="142"/>
      <c r="K52"/>
      <c r="L52"/>
      <c r="M52"/>
      <c r="N52"/>
      <c r="O52"/>
      <c r="R52" s="82"/>
      <c r="S52" s="141"/>
      <c r="T52" s="141"/>
      <c r="U52" s="141"/>
      <c r="V52" s="141"/>
      <c r="W52" s="141"/>
      <c r="X52" s="141"/>
      <c r="Y52" s="41"/>
      <c r="Z52" s="41"/>
      <c r="AA52" s="40"/>
      <c r="AB52"/>
      <c r="AC52"/>
      <c r="AD52"/>
      <c r="AE52"/>
      <c r="AF52"/>
      <c r="AG52"/>
      <c r="AH52" s="41"/>
      <c r="AI52" s="41"/>
      <c r="AJ52" s="42"/>
      <c r="AK52" s="43"/>
      <c r="AL52" s="43"/>
      <c r="AM52" s="43"/>
      <c r="AN52" s="43"/>
      <c r="AO52" s="43"/>
      <c r="AP52" s="43"/>
      <c r="AQ52" s="44"/>
      <c r="AR52" s="44" t="str">
        <f t="shared" si="5"/>
        <v/>
      </c>
    </row>
    <row r="53" spans="1:44" ht="12.75">
      <c r="A53" s="141"/>
      <c r="B53" s="142"/>
      <c r="C53" s="143"/>
      <c r="I53" s="142"/>
      <c r="K53"/>
      <c r="L53"/>
      <c r="M53"/>
      <c r="N53"/>
      <c r="O53"/>
      <c r="R53" s="82"/>
      <c r="S53" s="141"/>
      <c r="T53" s="141"/>
      <c r="U53" s="141"/>
      <c r="V53" s="141"/>
      <c r="W53" s="141"/>
      <c r="X53" s="141"/>
      <c r="Y53" s="41"/>
      <c r="Z53" s="41"/>
      <c r="AA53" s="40"/>
      <c r="AB53"/>
      <c r="AC53"/>
      <c r="AD53"/>
      <c r="AE53"/>
      <c r="AF53"/>
      <c r="AG53"/>
      <c r="AH53" s="41"/>
      <c r="AI53" s="41"/>
      <c r="AJ53" s="42"/>
      <c r="AK53" s="43"/>
      <c r="AL53" s="43"/>
      <c r="AM53" s="43"/>
      <c r="AN53" s="43"/>
      <c r="AO53" s="43"/>
      <c r="AP53" s="43"/>
      <c r="AQ53" s="44"/>
      <c r="AR53" s="44" t="str">
        <f t="shared" si="5"/>
        <v/>
      </c>
    </row>
    <row r="54" spans="1:44" ht="12.75">
      <c r="A54" s="141"/>
      <c r="B54" s="142"/>
      <c r="C54" s="143"/>
      <c r="I54" s="142"/>
      <c r="K54"/>
      <c r="L54"/>
      <c r="M54"/>
      <c r="N54"/>
      <c r="O54"/>
      <c r="R54" s="82"/>
      <c r="S54" s="141"/>
      <c r="T54" s="141"/>
      <c r="U54" s="141"/>
      <c r="V54" s="141"/>
      <c r="W54" s="141"/>
      <c r="X54" s="141"/>
      <c r="Y54" s="41"/>
      <c r="Z54" s="41"/>
      <c r="AA54" s="40"/>
      <c r="AB54"/>
      <c r="AC54"/>
      <c r="AD54"/>
      <c r="AE54"/>
      <c r="AF54"/>
      <c r="AG54"/>
      <c r="AH54" s="41"/>
      <c r="AI54" s="41"/>
      <c r="AJ54" s="42"/>
      <c r="AK54" s="43"/>
      <c r="AL54" s="43"/>
      <c r="AM54" s="43"/>
      <c r="AN54" s="43"/>
      <c r="AO54" s="43"/>
      <c r="AP54" s="43"/>
      <c r="AQ54" s="44"/>
      <c r="AR54" s="44" t="str">
        <f t="shared" si="5"/>
        <v/>
      </c>
    </row>
    <row r="55" spans="1:44" ht="12.75">
      <c r="A55" s="141"/>
      <c r="B55" s="142"/>
      <c r="C55" s="143"/>
      <c r="I55" s="142"/>
      <c r="K55"/>
      <c r="L55"/>
      <c r="M55"/>
      <c r="N55"/>
      <c r="O55"/>
      <c r="R55" s="82"/>
      <c r="S55" s="141"/>
      <c r="T55" s="141"/>
      <c r="U55" s="141"/>
      <c r="V55" s="141"/>
      <c r="W55" s="141"/>
      <c r="X55" s="141"/>
      <c r="Y55" s="41"/>
      <c r="Z55" s="41"/>
      <c r="AA55" s="40"/>
      <c r="AB55"/>
      <c r="AC55"/>
      <c r="AD55"/>
      <c r="AE55"/>
      <c r="AF55"/>
      <c r="AG55"/>
      <c r="AH55" s="41"/>
      <c r="AI55" s="41"/>
      <c r="AJ55" s="42"/>
      <c r="AK55" s="43"/>
      <c r="AL55" s="43"/>
      <c r="AM55" s="43"/>
      <c r="AN55" s="43"/>
      <c r="AO55" s="43"/>
      <c r="AP55" s="43"/>
      <c r="AQ55" s="44"/>
      <c r="AR55" s="44" t="str">
        <f t="shared" si="5"/>
        <v/>
      </c>
    </row>
    <row r="56" spans="1:44" ht="12.75">
      <c r="A56" s="141"/>
      <c r="B56" s="142"/>
      <c r="C56" s="143"/>
      <c r="I56" s="142"/>
      <c r="K56"/>
      <c r="L56"/>
      <c r="M56"/>
      <c r="N56"/>
      <c r="O56"/>
      <c r="R56" s="82"/>
      <c r="S56" s="141"/>
      <c r="T56" s="141"/>
      <c r="U56" s="141"/>
      <c r="V56" s="141"/>
      <c r="W56" s="141"/>
      <c r="X56" s="141"/>
      <c r="Y56" s="41"/>
      <c r="Z56" s="41"/>
      <c r="AA56" s="40"/>
      <c r="AB56"/>
      <c r="AC56"/>
      <c r="AD56"/>
      <c r="AE56"/>
      <c r="AF56"/>
      <c r="AG56"/>
      <c r="AH56" s="41"/>
      <c r="AI56" s="41"/>
      <c r="AJ56" s="42"/>
      <c r="AK56" s="43"/>
      <c r="AL56" s="43"/>
      <c r="AM56" s="43"/>
      <c r="AN56" s="43"/>
      <c r="AO56" s="43"/>
      <c r="AP56" s="43"/>
      <c r="AQ56" s="44"/>
      <c r="AR56" s="44" t="str">
        <f t="shared" si="5"/>
        <v/>
      </c>
    </row>
    <row r="57" spans="1:44" ht="12.75">
      <c r="A57" s="141"/>
      <c r="B57" s="142"/>
      <c r="C57" s="143"/>
      <c r="I57" s="142"/>
      <c r="K57"/>
      <c r="L57"/>
      <c r="M57"/>
      <c r="N57"/>
      <c r="O57"/>
      <c r="R57" s="82"/>
      <c r="S57" s="141"/>
      <c r="T57" s="141"/>
      <c r="U57" s="141"/>
      <c r="V57" s="141"/>
      <c r="W57" s="141"/>
      <c r="X57" s="141"/>
      <c r="Y57" s="41"/>
      <c r="Z57" s="41"/>
      <c r="AA57" s="40"/>
      <c r="AB57"/>
      <c r="AC57"/>
      <c r="AD57"/>
      <c r="AE57"/>
      <c r="AF57"/>
      <c r="AG57"/>
      <c r="AH57" s="41"/>
      <c r="AI57" s="41"/>
      <c r="AJ57" s="42"/>
      <c r="AK57" s="43"/>
      <c r="AL57" s="43"/>
      <c r="AM57" s="43"/>
      <c r="AN57" s="43"/>
      <c r="AO57" s="43"/>
      <c r="AP57" s="43"/>
      <c r="AQ57" s="44"/>
      <c r="AR57" s="44" t="str">
        <f t="shared" si="5"/>
        <v/>
      </c>
    </row>
    <row r="58" spans="1:44" ht="12.75">
      <c r="A58" s="141"/>
      <c r="B58" s="142"/>
      <c r="C58" s="143"/>
      <c r="I58" s="142"/>
      <c r="K58"/>
      <c r="L58"/>
      <c r="M58"/>
      <c r="N58"/>
      <c r="O58"/>
      <c r="R58" s="82"/>
      <c r="S58" s="141"/>
      <c r="T58" s="141"/>
      <c r="U58" s="141"/>
      <c r="V58" s="141"/>
      <c r="W58" s="141"/>
      <c r="X58" s="141"/>
      <c r="Y58" s="41"/>
      <c r="Z58" s="41"/>
      <c r="AA58" s="40"/>
      <c r="AB58"/>
      <c r="AC58"/>
      <c r="AD58"/>
      <c r="AE58"/>
      <c r="AF58"/>
      <c r="AG58"/>
      <c r="AH58" s="41"/>
      <c r="AI58" s="41"/>
      <c r="AJ58" s="42"/>
      <c r="AK58" s="43"/>
      <c r="AL58" s="43"/>
      <c r="AM58" s="43"/>
      <c r="AN58" s="43"/>
      <c r="AO58" s="43"/>
      <c r="AP58" s="43"/>
      <c r="AQ58" s="44"/>
      <c r="AR58" s="44" t="str">
        <f t="shared" si="5"/>
        <v/>
      </c>
    </row>
    <row r="59" spans="1:44" ht="12.75">
      <c r="A59" s="141"/>
      <c r="B59" s="142"/>
      <c r="C59" s="143"/>
      <c r="I59" s="142"/>
      <c r="K59"/>
      <c r="L59"/>
      <c r="M59"/>
      <c r="N59"/>
      <c r="O59"/>
      <c r="R59" s="82"/>
      <c r="S59" s="141"/>
      <c r="T59" s="141"/>
      <c r="U59" s="141"/>
      <c r="V59" s="141"/>
      <c r="W59" s="141"/>
      <c r="X59" s="141"/>
      <c r="Y59" s="41"/>
      <c r="Z59" s="41"/>
      <c r="AA59" s="40"/>
      <c r="AB59"/>
      <c r="AC59"/>
      <c r="AD59"/>
      <c r="AE59"/>
      <c r="AF59"/>
      <c r="AG59"/>
      <c r="AH59" s="41"/>
      <c r="AI59" s="41"/>
      <c r="AJ59" s="42"/>
      <c r="AK59" s="43"/>
      <c r="AL59" s="43"/>
      <c r="AM59" s="43"/>
      <c r="AN59" s="43"/>
      <c r="AO59" s="43"/>
      <c r="AP59" s="43"/>
      <c r="AQ59" s="44"/>
      <c r="AR59" s="44" t="str">
        <f t="shared" si="5"/>
        <v/>
      </c>
    </row>
    <row r="60" spans="1:44" ht="12.75">
      <c r="A60" s="141"/>
      <c r="B60" s="142"/>
      <c r="C60" s="143"/>
      <c r="I60" s="142"/>
      <c r="K60"/>
      <c r="L60"/>
      <c r="M60"/>
      <c r="N60"/>
      <c r="O60"/>
      <c r="R60" s="82"/>
      <c r="S60" s="141"/>
      <c r="T60" s="141"/>
      <c r="U60" s="141"/>
      <c r="V60" s="141"/>
      <c r="W60" s="141"/>
      <c r="X60" s="141"/>
      <c r="Y60" s="41"/>
      <c r="Z60" s="41"/>
      <c r="AA60" s="40"/>
      <c r="AB60"/>
      <c r="AC60"/>
      <c r="AD60"/>
      <c r="AE60"/>
      <c r="AF60"/>
      <c r="AG60"/>
      <c r="AH60" s="41"/>
      <c r="AI60" s="41"/>
      <c r="AJ60" s="42"/>
      <c r="AK60" s="43"/>
      <c r="AL60" s="43"/>
      <c r="AM60" s="43"/>
      <c r="AN60" s="43"/>
      <c r="AO60" s="43"/>
      <c r="AP60" s="43"/>
      <c r="AQ60" s="44"/>
      <c r="AR60" s="44" t="str">
        <f t="shared" si="5"/>
        <v/>
      </c>
    </row>
    <row r="61" spans="1:44" ht="12.75">
      <c r="A61" s="141"/>
      <c r="B61" s="142"/>
      <c r="C61" s="143"/>
      <c r="I61" s="142"/>
      <c r="K61"/>
      <c r="L61"/>
      <c r="M61"/>
      <c r="N61"/>
      <c r="O61"/>
      <c r="R61" s="82"/>
      <c r="S61" s="141"/>
      <c r="T61" s="141"/>
      <c r="U61" s="141"/>
      <c r="V61" s="141"/>
      <c r="W61" s="141"/>
      <c r="X61" s="141"/>
      <c r="Y61" s="41"/>
      <c r="Z61" s="41"/>
      <c r="AA61" s="40"/>
      <c r="AB61"/>
      <c r="AC61"/>
      <c r="AD61"/>
      <c r="AE61"/>
      <c r="AF61"/>
      <c r="AG61"/>
      <c r="AH61" s="41"/>
      <c r="AI61" s="41"/>
      <c r="AJ61" s="42"/>
      <c r="AK61" s="43"/>
      <c r="AL61" s="43"/>
      <c r="AM61" s="43"/>
      <c r="AN61" s="43"/>
      <c r="AO61" s="43"/>
      <c r="AP61" s="43"/>
      <c r="AQ61" s="44"/>
      <c r="AR61" s="44" t="str">
        <f t="shared" si="5"/>
        <v/>
      </c>
    </row>
    <row r="62" spans="1:44" ht="12.75">
      <c r="A62" s="141"/>
      <c r="B62" s="142"/>
      <c r="C62" s="143"/>
      <c r="I62" s="142"/>
      <c r="K62"/>
      <c r="L62"/>
      <c r="M62"/>
      <c r="N62"/>
      <c r="O62"/>
      <c r="R62" s="82"/>
      <c r="S62" s="141"/>
      <c r="T62" s="141"/>
      <c r="U62" s="141"/>
      <c r="V62" s="141"/>
      <c r="W62" s="141"/>
      <c r="X62" s="141"/>
      <c r="Y62" s="41"/>
      <c r="Z62" s="41"/>
      <c r="AA62" s="40"/>
      <c r="AB62"/>
      <c r="AC62"/>
      <c r="AD62"/>
      <c r="AE62"/>
      <c r="AF62"/>
      <c r="AG62"/>
      <c r="AH62" s="41"/>
      <c r="AI62" s="41"/>
      <c r="AJ62" s="42"/>
      <c r="AK62" s="43"/>
      <c r="AL62" s="43"/>
      <c r="AM62" s="43"/>
      <c r="AN62" s="43"/>
      <c r="AO62" s="43"/>
      <c r="AP62" s="43"/>
      <c r="AQ62" s="44"/>
      <c r="AR62" s="44" t="str">
        <f t="shared" si="5"/>
        <v/>
      </c>
    </row>
    <row r="63" spans="1:44" ht="12.75">
      <c r="A63" s="141"/>
      <c r="B63" s="142"/>
      <c r="C63" s="143"/>
      <c r="I63" s="142"/>
      <c r="K63"/>
      <c r="L63"/>
      <c r="M63"/>
      <c r="N63"/>
      <c r="O63"/>
      <c r="R63" s="82"/>
      <c r="S63" s="141"/>
      <c r="T63" s="141"/>
      <c r="U63" s="141"/>
      <c r="V63" s="141"/>
      <c r="W63" s="141"/>
      <c r="X63" s="141"/>
      <c r="Y63" s="41"/>
      <c r="Z63" s="41"/>
      <c r="AA63" s="40"/>
      <c r="AB63"/>
      <c r="AC63"/>
      <c r="AD63"/>
      <c r="AE63"/>
      <c r="AF63"/>
      <c r="AG63"/>
      <c r="AH63" s="41"/>
      <c r="AI63" s="41"/>
      <c r="AJ63" s="42"/>
      <c r="AK63" s="43"/>
      <c r="AL63" s="43"/>
      <c r="AM63" s="43"/>
      <c r="AN63" s="43"/>
      <c r="AO63" s="43"/>
      <c r="AP63" s="43"/>
      <c r="AQ63" s="44"/>
      <c r="AR63" s="44" t="str">
        <f t="shared" si="5"/>
        <v/>
      </c>
    </row>
    <row r="64" spans="1:44" ht="12.75">
      <c r="A64" s="141"/>
      <c r="B64" s="142"/>
      <c r="C64" s="143"/>
      <c r="I64" s="142"/>
      <c r="K64"/>
      <c r="L64"/>
      <c r="M64"/>
      <c r="N64"/>
      <c r="O64"/>
      <c r="R64" s="82"/>
      <c r="S64" s="141"/>
      <c r="T64" s="141"/>
      <c r="U64" s="141"/>
      <c r="V64" s="141"/>
      <c r="W64" s="141"/>
      <c r="X64" s="141"/>
      <c r="Y64" s="41"/>
      <c r="Z64" s="41"/>
      <c r="AA64" s="40"/>
      <c r="AB64"/>
      <c r="AC64"/>
      <c r="AD64"/>
      <c r="AE64"/>
      <c r="AF64"/>
      <c r="AG64"/>
      <c r="AH64" s="41"/>
      <c r="AI64" s="41"/>
      <c r="AJ64" s="42"/>
      <c r="AK64" s="43"/>
      <c r="AL64" s="43"/>
      <c r="AM64" s="43"/>
      <c r="AN64" s="43"/>
      <c r="AO64" s="43"/>
      <c r="AP64" s="43"/>
      <c r="AQ64" s="44"/>
      <c r="AR64" s="44" t="str">
        <f t="shared" si="5"/>
        <v/>
      </c>
    </row>
    <row r="65" spans="1:44" ht="12.75">
      <c r="A65" s="141"/>
      <c r="B65" s="142"/>
      <c r="C65" s="143"/>
      <c r="I65" s="142"/>
      <c r="K65"/>
      <c r="L65"/>
      <c r="M65"/>
      <c r="N65"/>
      <c r="O65"/>
      <c r="R65" s="82"/>
      <c r="S65" s="141"/>
      <c r="T65" s="141"/>
      <c r="U65" s="141"/>
      <c r="V65" s="141"/>
      <c r="W65" s="141"/>
      <c r="X65" s="141"/>
      <c r="Y65" s="41"/>
      <c r="Z65" s="41"/>
      <c r="AA65" s="40"/>
      <c r="AB65"/>
      <c r="AC65"/>
      <c r="AD65"/>
      <c r="AE65"/>
      <c r="AF65"/>
      <c r="AG65"/>
      <c r="AH65" s="41"/>
      <c r="AI65" s="41"/>
      <c r="AJ65" s="42"/>
      <c r="AK65" s="43"/>
      <c r="AL65" s="43"/>
      <c r="AM65" s="43"/>
      <c r="AN65" s="43"/>
      <c r="AO65" s="43"/>
      <c r="AP65" s="43"/>
      <c r="AQ65" s="44"/>
      <c r="AR65" s="44" t="str">
        <f t="shared" si="5"/>
        <v/>
      </c>
    </row>
    <row r="66" spans="1:44" ht="12.75">
      <c r="A66" s="141"/>
      <c r="B66" s="142"/>
      <c r="C66" s="143"/>
      <c r="I66" s="142"/>
      <c r="K66"/>
      <c r="L66"/>
      <c r="M66"/>
      <c r="N66"/>
      <c r="O66"/>
      <c r="R66" s="82"/>
      <c r="S66" s="141"/>
      <c r="T66" s="141"/>
      <c r="U66" s="141"/>
      <c r="V66" s="141"/>
      <c r="W66" s="141"/>
      <c r="X66" s="141"/>
      <c r="Y66" s="41"/>
      <c r="Z66" s="41"/>
      <c r="AA66" s="40"/>
      <c r="AB66"/>
      <c r="AC66"/>
      <c r="AD66"/>
      <c r="AE66"/>
      <c r="AF66"/>
      <c r="AG66"/>
      <c r="AH66" s="41"/>
      <c r="AI66" s="41"/>
      <c r="AJ66" s="42"/>
      <c r="AK66" s="43"/>
      <c r="AL66" s="43"/>
      <c r="AM66" s="43"/>
      <c r="AN66" s="43"/>
      <c r="AO66" s="43"/>
      <c r="AP66" s="43"/>
      <c r="AQ66" s="44"/>
      <c r="AR66" s="44" t="str">
        <f t="shared" si="5"/>
        <v/>
      </c>
    </row>
    <row r="67" spans="1:44" ht="12.75">
      <c r="A67" s="141"/>
      <c r="B67" s="142"/>
      <c r="C67" s="143"/>
      <c r="I67" s="142"/>
      <c r="K67"/>
      <c r="L67"/>
      <c r="M67"/>
      <c r="N67"/>
      <c r="O67"/>
      <c r="R67" s="82"/>
      <c r="S67" s="141"/>
      <c r="T67" s="141"/>
      <c r="U67" s="141"/>
      <c r="V67" s="141"/>
      <c r="W67" s="141"/>
      <c r="X67" s="141"/>
      <c r="Y67" s="41"/>
      <c r="Z67" s="41"/>
      <c r="AA67" s="40"/>
      <c r="AB67"/>
      <c r="AC67"/>
      <c r="AD67"/>
      <c r="AE67"/>
      <c r="AF67"/>
      <c r="AG67"/>
      <c r="AH67" s="41"/>
      <c r="AI67" s="41"/>
      <c r="AJ67" s="42"/>
      <c r="AK67" s="43"/>
      <c r="AL67" s="43"/>
      <c r="AM67" s="43"/>
      <c r="AN67" s="43"/>
      <c r="AO67" s="43"/>
      <c r="AP67" s="43"/>
      <c r="AQ67" s="44"/>
      <c r="AR67" s="44" t="str">
        <f t="shared" si="5"/>
        <v/>
      </c>
    </row>
    <row r="68" spans="1:44" ht="12.75">
      <c r="A68" s="141"/>
      <c r="B68" s="142"/>
      <c r="C68" s="143"/>
      <c r="I68" s="142"/>
      <c r="K68"/>
      <c r="L68"/>
      <c r="M68"/>
      <c r="N68"/>
      <c r="O68"/>
      <c r="R68" s="82"/>
      <c r="S68" s="141"/>
      <c r="T68" s="141"/>
      <c r="U68" s="141"/>
      <c r="V68" s="141"/>
      <c r="W68" s="141"/>
      <c r="X68" s="141"/>
      <c r="Y68" s="41"/>
      <c r="Z68" s="41"/>
      <c r="AA68" s="40"/>
      <c r="AB68"/>
      <c r="AC68"/>
      <c r="AD68"/>
      <c r="AE68"/>
      <c r="AF68"/>
      <c r="AG68"/>
      <c r="AH68" s="41"/>
      <c r="AI68" s="41"/>
      <c r="AJ68" s="42"/>
      <c r="AK68" s="43"/>
      <c r="AL68" s="43"/>
      <c r="AM68" s="43"/>
      <c r="AN68" s="43"/>
      <c r="AO68" s="43"/>
      <c r="AP68" s="43"/>
      <c r="AQ68" s="44"/>
      <c r="AR68" s="44" t="str">
        <f t="shared" si="5"/>
        <v/>
      </c>
    </row>
    <row r="69" spans="1:44" ht="12.75">
      <c r="A69" s="141"/>
      <c r="B69" s="142"/>
      <c r="C69" s="143"/>
      <c r="I69" s="142"/>
      <c r="K69"/>
      <c r="L69"/>
      <c r="M69"/>
      <c r="N69"/>
      <c r="O69"/>
      <c r="R69" s="82"/>
      <c r="S69" s="141"/>
      <c r="T69" s="141"/>
      <c r="U69" s="141"/>
      <c r="V69" s="141"/>
      <c r="W69" s="141"/>
      <c r="X69" s="141"/>
      <c r="Y69" s="41"/>
      <c r="Z69" s="41"/>
      <c r="AA69" s="40"/>
      <c r="AB69"/>
      <c r="AC69"/>
      <c r="AD69"/>
      <c r="AE69"/>
      <c r="AF69"/>
      <c r="AG69"/>
      <c r="AH69" s="41"/>
      <c r="AI69" s="41"/>
      <c r="AJ69" s="42"/>
      <c r="AK69" s="43"/>
      <c r="AL69" s="43"/>
      <c r="AM69" s="43"/>
      <c r="AN69" s="43"/>
      <c r="AO69" s="43"/>
      <c r="AP69" s="43"/>
      <c r="AQ69" s="44"/>
      <c r="AR69" s="44" t="str">
        <f t="shared" si="5"/>
        <v/>
      </c>
    </row>
    <row r="70" spans="1:44" ht="12.75">
      <c r="A70" s="141"/>
      <c r="B70" s="142"/>
      <c r="C70" s="143"/>
      <c r="I70" s="142"/>
      <c r="K70"/>
      <c r="L70"/>
      <c r="M70"/>
      <c r="N70"/>
      <c r="O70"/>
      <c r="R70" s="82"/>
      <c r="S70" s="141"/>
      <c r="T70" s="141"/>
      <c r="U70" s="141"/>
      <c r="V70" s="141"/>
      <c r="W70" s="141"/>
      <c r="X70" s="141"/>
      <c r="Y70" s="41"/>
      <c r="Z70" s="41"/>
      <c r="AA70" s="40"/>
      <c r="AB70"/>
      <c r="AC70"/>
      <c r="AD70"/>
      <c r="AE70"/>
      <c r="AF70"/>
      <c r="AG70"/>
      <c r="AH70" s="41"/>
      <c r="AI70" s="41"/>
      <c r="AJ70" s="42"/>
      <c r="AK70" s="43"/>
      <c r="AL70" s="43"/>
      <c r="AM70" s="43"/>
      <c r="AN70" s="43"/>
      <c r="AO70" s="43"/>
      <c r="AP70" s="43"/>
      <c r="AQ70" s="44"/>
      <c r="AR70" s="44" t="str">
        <f t="shared" si="5"/>
        <v/>
      </c>
    </row>
    <row r="71" spans="1:44" ht="12.75">
      <c r="A71" s="141"/>
      <c r="B71" s="142"/>
      <c r="C71" s="143"/>
      <c r="I71" s="142"/>
      <c r="K71"/>
      <c r="L71"/>
      <c r="M71"/>
      <c r="N71"/>
      <c r="O71"/>
      <c r="R71" s="82"/>
      <c r="S71" s="141"/>
      <c r="T71" s="141"/>
      <c r="U71" s="141"/>
      <c r="V71" s="141"/>
      <c r="W71" s="141"/>
      <c r="X71" s="141"/>
      <c r="Y71" s="41"/>
      <c r="Z71" s="41"/>
      <c r="AA71" s="40"/>
      <c r="AB71"/>
      <c r="AC71"/>
      <c r="AD71"/>
      <c r="AE71"/>
      <c r="AF71"/>
      <c r="AG71"/>
      <c r="AH71" s="41"/>
      <c r="AI71" s="41"/>
      <c r="AJ71" s="42"/>
      <c r="AK71" s="43"/>
      <c r="AL71" s="43"/>
      <c r="AM71" s="43"/>
      <c r="AN71" s="43"/>
      <c r="AO71" s="43"/>
      <c r="AP71" s="43"/>
      <c r="AQ71" s="44"/>
      <c r="AR71" s="44" t="str">
        <f t="shared" si="5"/>
        <v/>
      </c>
    </row>
    <row r="72" spans="1:44" ht="12.75">
      <c r="A72" s="141"/>
      <c r="B72" s="142"/>
      <c r="C72" s="143"/>
      <c r="I72" s="142"/>
      <c r="K72"/>
      <c r="L72"/>
      <c r="M72"/>
      <c r="N72"/>
      <c r="O72"/>
      <c r="R72" s="82"/>
      <c r="S72" s="141"/>
      <c r="T72" s="141"/>
      <c r="U72" s="141"/>
      <c r="V72" s="141"/>
      <c r="W72" s="141"/>
      <c r="X72" s="141"/>
      <c r="Y72" s="41"/>
      <c r="Z72" s="41"/>
      <c r="AA72" s="40"/>
      <c r="AB72"/>
      <c r="AC72"/>
      <c r="AD72"/>
      <c r="AE72"/>
      <c r="AF72"/>
      <c r="AG72"/>
      <c r="AH72" s="41"/>
      <c r="AI72" s="41"/>
      <c r="AJ72" s="42"/>
      <c r="AK72" s="43"/>
      <c r="AL72" s="43"/>
      <c r="AM72" s="43"/>
      <c r="AN72" s="43"/>
      <c r="AO72" s="43"/>
      <c r="AP72" s="43"/>
      <c r="AQ72" s="44"/>
      <c r="AR72" s="44" t="str">
        <f t="shared" ref="AR72:AR134" si="6">IF(Z72&lt;&gt;"",(AI72-Z72)/Z72,"")</f>
        <v/>
      </c>
    </row>
    <row r="73" spans="1:44" ht="12.75">
      <c r="A73" s="141"/>
      <c r="B73" s="142"/>
      <c r="C73" s="143"/>
      <c r="I73" s="142"/>
      <c r="K73"/>
      <c r="L73"/>
      <c r="M73"/>
      <c r="N73"/>
      <c r="O73"/>
      <c r="R73" s="82"/>
      <c r="S73" s="141"/>
      <c r="T73" s="141"/>
      <c r="U73" s="141"/>
      <c r="V73" s="141"/>
      <c r="W73" s="141"/>
      <c r="X73" s="141"/>
      <c r="Y73" s="41"/>
      <c r="Z73" s="41"/>
      <c r="AA73" s="40"/>
      <c r="AB73"/>
      <c r="AC73"/>
      <c r="AD73"/>
      <c r="AE73"/>
      <c r="AF73"/>
      <c r="AG73"/>
      <c r="AH73" s="41"/>
      <c r="AI73" s="41"/>
      <c r="AJ73" s="42"/>
      <c r="AK73" s="43"/>
      <c r="AL73" s="43"/>
      <c r="AM73" s="43"/>
      <c r="AN73" s="43"/>
      <c r="AO73" s="43"/>
      <c r="AP73" s="43"/>
      <c r="AQ73" s="44"/>
      <c r="AR73" s="44" t="str">
        <f t="shared" si="6"/>
        <v/>
      </c>
    </row>
    <row r="74" spans="1:44" ht="12.75">
      <c r="A74" s="141"/>
      <c r="B74" s="142"/>
      <c r="C74" s="143"/>
      <c r="I74" s="142"/>
      <c r="K74"/>
      <c r="L74"/>
      <c r="M74"/>
      <c r="N74"/>
      <c r="O74"/>
      <c r="R74" s="82"/>
      <c r="S74" s="141"/>
      <c r="T74" s="141"/>
      <c r="U74" s="141"/>
      <c r="V74" s="141"/>
      <c r="W74" s="141"/>
      <c r="X74" s="141"/>
      <c r="Y74" s="41"/>
      <c r="Z74" s="41"/>
      <c r="AA74" s="40"/>
      <c r="AB74"/>
      <c r="AC74"/>
      <c r="AD74"/>
      <c r="AE74"/>
      <c r="AF74"/>
      <c r="AG74"/>
      <c r="AH74" s="41"/>
      <c r="AI74" s="41"/>
      <c r="AJ74" s="42"/>
      <c r="AK74" s="43"/>
      <c r="AL74" s="43"/>
      <c r="AM74" s="43"/>
      <c r="AN74" s="43"/>
      <c r="AO74" s="43"/>
      <c r="AP74" s="43"/>
      <c r="AQ74" s="44"/>
      <c r="AR74" s="44" t="str">
        <f t="shared" si="6"/>
        <v/>
      </c>
    </row>
    <row r="75" spans="1:44" ht="12.75">
      <c r="A75" s="141"/>
      <c r="B75" s="142"/>
      <c r="C75" s="143"/>
      <c r="I75" s="142"/>
      <c r="K75"/>
      <c r="L75"/>
      <c r="M75"/>
      <c r="N75"/>
      <c r="O75"/>
      <c r="R75" s="82"/>
      <c r="S75" s="141"/>
      <c r="T75" s="141"/>
      <c r="U75" s="141"/>
      <c r="V75" s="141"/>
      <c r="W75" s="141"/>
      <c r="X75" s="141"/>
      <c r="Y75" s="41"/>
      <c r="Z75" s="41"/>
      <c r="AA75" s="40"/>
      <c r="AB75"/>
      <c r="AC75"/>
      <c r="AD75"/>
      <c r="AE75"/>
      <c r="AF75"/>
      <c r="AG75"/>
      <c r="AH75" s="41"/>
      <c r="AI75" s="41"/>
      <c r="AJ75" s="42"/>
      <c r="AK75" s="43"/>
      <c r="AL75" s="43"/>
      <c r="AM75" s="43"/>
      <c r="AN75" s="43"/>
      <c r="AO75" s="43"/>
      <c r="AP75" s="43"/>
      <c r="AQ75" s="44"/>
      <c r="AR75" s="44" t="str">
        <f t="shared" si="6"/>
        <v/>
      </c>
    </row>
    <row r="76" spans="1:44" ht="12.75">
      <c r="A76" s="141"/>
      <c r="B76" s="142"/>
      <c r="C76" s="143"/>
      <c r="I76" s="142"/>
      <c r="K76"/>
      <c r="L76"/>
      <c r="M76"/>
      <c r="N76"/>
      <c r="O76"/>
      <c r="R76" s="82"/>
      <c r="S76" s="141"/>
      <c r="T76" s="141"/>
      <c r="U76" s="141"/>
      <c r="V76" s="141"/>
      <c r="W76" s="141"/>
      <c r="X76" s="141"/>
      <c r="Y76" s="41"/>
      <c r="Z76" s="41"/>
      <c r="AA76" s="40"/>
      <c r="AB76"/>
      <c r="AC76"/>
      <c r="AD76"/>
      <c r="AE76"/>
      <c r="AF76"/>
      <c r="AG76"/>
      <c r="AH76" s="41"/>
      <c r="AI76" s="41"/>
      <c r="AJ76" s="42"/>
      <c r="AK76" s="43"/>
      <c r="AL76" s="43"/>
      <c r="AM76" s="43"/>
      <c r="AN76" s="43"/>
      <c r="AO76" s="43"/>
      <c r="AP76" s="43"/>
      <c r="AQ76" s="44"/>
      <c r="AR76" s="44" t="str">
        <f t="shared" si="6"/>
        <v/>
      </c>
    </row>
    <row r="77" spans="1:44" ht="12.75">
      <c r="A77" s="141"/>
      <c r="B77" s="142"/>
      <c r="C77" s="143"/>
      <c r="I77" s="142"/>
      <c r="K77"/>
      <c r="L77"/>
      <c r="M77"/>
      <c r="N77"/>
      <c r="O77"/>
      <c r="R77" s="82"/>
      <c r="S77" s="141"/>
      <c r="T77" s="141"/>
      <c r="U77" s="141"/>
      <c r="V77" s="141"/>
      <c r="W77" s="141"/>
      <c r="X77" s="141"/>
      <c r="Y77" s="41"/>
      <c r="Z77" s="41"/>
      <c r="AA77" s="40"/>
      <c r="AB77"/>
      <c r="AC77"/>
      <c r="AD77"/>
      <c r="AE77"/>
      <c r="AF77"/>
      <c r="AG77"/>
      <c r="AH77" s="41"/>
      <c r="AI77" s="41"/>
      <c r="AJ77" s="42"/>
      <c r="AK77" s="43"/>
      <c r="AL77" s="43"/>
      <c r="AM77" s="43"/>
      <c r="AN77" s="43"/>
      <c r="AO77" s="43"/>
      <c r="AP77" s="43"/>
      <c r="AQ77" s="44"/>
      <c r="AR77" s="44" t="str">
        <f t="shared" si="6"/>
        <v/>
      </c>
    </row>
    <row r="78" spans="1:44" ht="12.75">
      <c r="A78" s="141"/>
      <c r="B78" s="142"/>
      <c r="C78" s="143"/>
      <c r="I78" s="142"/>
      <c r="K78"/>
      <c r="L78"/>
      <c r="M78"/>
      <c r="N78"/>
      <c r="O78"/>
      <c r="R78" s="82"/>
      <c r="S78" s="141"/>
      <c r="T78" s="141"/>
      <c r="U78" s="141"/>
      <c r="V78" s="141"/>
      <c r="W78" s="141"/>
      <c r="X78" s="141"/>
      <c r="Y78" s="41"/>
      <c r="Z78" s="41"/>
      <c r="AA78" s="40"/>
      <c r="AB78"/>
      <c r="AC78"/>
      <c r="AD78"/>
      <c r="AE78"/>
      <c r="AF78"/>
      <c r="AG78"/>
      <c r="AH78" s="41"/>
      <c r="AI78" s="41"/>
      <c r="AJ78" s="42"/>
      <c r="AK78" s="43"/>
      <c r="AL78" s="43"/>
      <c r="AM78" s="43"/>
      <c r="AN78" s="43"/>
      <c r="AO78" s="43"/>
      <c r="AP78" s="43"/>
      <c r="AQ78" s="44"/>
      <c r="AR78" s="44" t="str">
        <f t="shared" si="6"/>
        <v/>
      </c>
    </row>
    <row r="79" spans="1:44" ht="12.75">
      <c r="A79" s="141"/>
      <c r="B79" s="142"/>
      <c r="C79" s="143"/>
      <c r="I79" s="142"/>
      <c r="K79"/>
      <c r="L79"/>
      <c r="M79"/>
      <c r="N79"/>
      <c r="O79"/>
      <c r="R79" s="82"/>
      <c r="S79" s="141"/>
      <c r="T79" s="141"/>
      <c r="U79" s="141"/>
      <c r="V79" s="141"/>
      <c r="W79" s="141"/>
      <c r="X79" s="141"/>
      <c r="Y79" s="41"/>
      <c r="Z79" s="41"/>
      <c r="AA79" s="40"/>
      <c r="AB79"/>
      <c r="AC79"/>
      <c r="AD79"/>
      <c r="AE79"/>
      <c r="AF79"/>
      <c r="AG79"/>
      <c r="AH79" s="41"/>
      <c r="AI79" s="41"/>
      <c r="AJ79" s="42"/>
      <c r="AK79" s="43"/>
      <c r="AL79" s="43"/>
      <c r="AM79" s="43"/>
      <c r="AN79" s="43"/>
      <c r="AO79" s="43"/>
      <c r="AP79" s="43"/>
      <c r="AQ79" s="44"/>
      <c r="AR79" s="44" t="str">
        <f t="shared" si="6"/>
        <v/>
      </c>
    </row>
    <row r="80" spans="1:44" ht="12.75">
      <c r="A80" s="141"/>
      <c r="B80" s="142"/>
      <c r="C80" s="143"/>
      <c r="I80" s="142"/>
      <c r="K80"/>
      <c r="L80"/>
      <c r="M80"/>
      <c r="N80"/>
      <c r="O80"/>
      <c r="R80" s="82"/>
      <c r="S80" s="141"/>
      <c r="T80" s="141"/>
      <c r="U80" s="141"/>
      <c r="V80" s="141"/>
      <c r="W80" s="141"/>
      <c r="X80" s="141"/>
      <c r="Y80" s="41"/>
      <c r="Z80" s="41"/>
      <c r="AA80" s="40"/>
      <c r="AB80"/>
      <c r="AC80"/>
      <c r="AD80"/>
      <c r="AE80"/>
      <c r="AF80"/>
      <c r="AG80"/>
      <c r="AH80" s="41"/>
      <c r="AI80" s="41"/>
      <c r="AJ80" s="42"/>
      <c r="AK80" s="43"/>
      <c r="AL80" s="43"/>
      <c r="AM80" s="43"/>
      <c r="AN80" s="43"/>
      <c r="AO80" s="43"/>
      <c r="AP80" s="43"/>
      <c r="AQ80" s="44"/>
      <c r="AR80" s="44" t="str">
        <f t="shared" si="6"/>
        <v/>
      </c>
    </row>
    <row r="81" spans="1:44" ht="12.75">
      <c r="A81" s="141"/>
      <c r="B81" s="142"/>
      <c r="C81" s="143"/>
      <c r="I81" s="142"/>
      <c r="K81"/>
      <c r="L81"/>
      <c r="M81"/>
      <c r="N81"/>
      <c r="O81"/>
      <c r="R81" s="82"/>
      <c r="S81" s="141"/>
      <c r="T81" s="141"/>
      <c r="U81" s="141"/>
      <c r="V81" s="141"/>
      <c r="W81" s="141"/>
      <c r="X81" s="141"/>
      <c r="Y81" s="41"/>
      <c r="Z81" s="41"/>
      <c r="AA81" s="40"/>
      <c r="AB81"/>
      <c r="AC81"/>
      <c r="AD81"/>
      <c r="AE81"/>
      <c r="AF81"/>
      <c r="AG81"/>
      <c r="AH81" s="41"/>
      <c r="AI81" s="41"/>
      <c r="AJ81" s="42"/>
      <c r="AK81" s="43"/>
      <c r="AL81" s="43"/>
      <c r="AM81" s="43"/>
      <c r="AN81" s="43"/>
      <c r="AO81" s="43"/>
      <c r="AP81" s="43"/>
      <c r="AQ81" s="44"/>
      <c r="AR81" s="44" t="str">
        <f t="shared" si="6"/>
        <v/>
      </c>
    </row>
    <row r="82" spans="1:44" ht="12.75">
      <c r="A82" s="141"/>
      <c r="B82" s="142"/>
      <c r="C82" s="143"/>
      <c r="I82" s="142"/>
      <c r="K82"/>
      <c r="L82"/>
      <c r="M82"/>
      <c r="N82"/>
      <c r="O82"/>
      <c r="R82" s="82"/>
      <c r="S82" s="141"/>
      <c r="T82" s="141"/>
      <c r="U82" s="141"/>
      <c r="V82" s="141"/>
      <c r="W82" s="141"/>
      <c r="X82" s="141"/>
      <c r="Y82" s="41"/>
      <c r="Z82" s="41"/>
      <c r="AA82" s="40"/>
      <c r="AB82"/>
      <c r="AC82"/>
      <c r="AD82"/>
      <c r="AE82"/>
      <c r="AF82"/>
      <c r="AG82"/>
      <c r="AH82" s="41"/>
      <c r="AI82" s="41"/>
      <c r="AJ82" s="42"/>
      <c r="AK82" s="43"/>
      <c r="AL82" s="43"/>
      <c r="AM82" s="43"/>
      <c r="AN82" s="43"/>
      <c r="AO82" s="43"/>
      <c r="AP82" s="43"/>
      <c r="AQ82" s="44"/>
      <c r="AR82" s="44" t="str">
        <f t="shared" si="6"/>
        <v/>
      </c>
    </row>
    <row r="83" spans="1:44" ht="12.75">
      <c r="A83" s="141"/>
      <c r="B83" s="142"/>
      <c r="C83" s="143"/>
      <c r="I83" s="142"/>
      <c r="K83"/>
      <c r="L83"/>
      <c r="M83"/>
      <c r="N83"/>
      <c r="O83"/>
      <c r="R83" s="82"/>
      <c r="S83" s="141"/>
      <c r="T83" s="141"/>
      <c r="U83" s="141"/>
      <c r="V83" s="141"/>
      <c r="W83" s="141"/>
      <c r="X83" s="141"/>
      <c r="Y83" s="41"/>
      <c r="Z83" s="41"/>
      <c r="AA83" s="40"/>
      <c r="AB83"/>
      <c r="AC83"/>
      <c r="AD83"/>
      <c r="AE83"/>
      <c r="AF83"/>
      <c r="AG83"/>
      <c r="AH83" s="41"/>
      <c r="AI83" s="41"/>
      <c r="AJ83" s="42"/>
      <c r="AK83" s="43"/>
      <c r="AL83" s="43"/>
      <c r="AM83" s="43"/>
      <c r="AN83" s="43"/>
      <c r="AO83" s="43"/>
      <c r="AP83" s="43"/>
      <c r="AQ83" s="44"/>
      <c r="AR83" s="44" t="str">
        <f t="shared" si="6"/>
        <v/>
      </c>
    </row>
    <row r="84" spans="1:44" ht="12.75">
      <c r="A84" s="141"/>
      <c r="B84" s="142"/>
      <c r="C84" s="143"/>
      <c r="I84" s="142"/>
      <c r="K84"/>
      <c r="L84"/>
      <c r="M84"/>
      <c r="N84"/>
      <c r="O84"/>
      <c r="R84" s="82"/>
      <c r="S84" s="141"/>
      <c r="T84" s="141"/>
      <c r="U84" s="141"/>
      <c r="V84" s="141"/>
      <c r="W84" s="141"/>
      <c r="X84" s="141"/>
      <c r="Y84" s="41"/>
      <c r="Z84" s="41"/>
      <c r="AA84" s="40"/>
      <c r="AB84"/>
      <c r="AC84"/>
      <c r="AD84"/>
      <c r="AE84"/>
      <c r="AF84"/>
      <c r="AG84"/>
      <c r="AH84" s="41"/>
      <c r="AI84" s="41"/>
      <c r="AJ84" s="42"/>
      <c r="AK84" s="43"/>
      <c r="AL84" s="43"/>
      <c r="AM84" s="43"/>
      <c r="AN84" s="43"/>
      <c r="AO84" s="43"/>
      <c r="AP84" s="43"/>
      <c r="AQ84" s="44"/>
      <c r="AR84" s="44" t="str">
        <f t="shared" si="6"/>
        <v/>
      </c>
    </row>
    <row r="85" spans="1:44" ht="12.75">
      <c r="A85" s="141"/>
      <c r="B85" s="142"/>
      <c r="C85" s="143"/>
      <c r="I85" s="142"/>
      <c r="K85"/>
      <c r="L85"/>
      <c r="M85"/>
      <c r="N85"/>
      <c r="O85"/>
      <c r="R85" s="82"/>
      <c r="S85" s="141"/>
      <c r="T85" s="141"/>
      <c r="U85" s="141"/>
      <c r="V85" s="141"/>
      <c r="W85" s="141"/>
      <c r="X85" s="141"/>
      <c r="Y85" s="41"/>
      <c r="Z85" s="41"/>
      <c r="AA85" s="40"/>
      <c r="AB85"/>
      <c r="AC85"/>
      <c r="AD85"/>
      <c r="AE85"/>
      <c r="AF85"/>
      <c r="AG85"/>
      <c r="AH85" s="41"/>
      <c r="AI85" s="41"/>
      <c r="AJ85" s="42"/>
      <c r="AK85" s="43"/>
      <c r="AL85" s="43"/>
      <c r="AM85" s="43"/>
      <c r="AN85" s="43"/>
      <c r="AO85" s="43"/>
      <c r="AP85" s="43"/>
      <c r="AQ85" s="44"/>
      <c r="AR85" s="44" t="str">
        <f t="shared" si="6"/>
        <v/>
      </c>
    </row>
    <row r="86" spans="1:44" ht="12.75">
      <c r="A86" s="141"/>
      <c r="B86" s="142"/>
      <c r="C86" s="143"/>
      <c r="I86" s="142"/>
      <c r="K86"/>
      <c r="L86"/>
      <c r="M86"/>
      <c r="N86"/>
      <c r="O86"/>
      <c r="R86" s="82"/>
      <c r="S86" s="141"/>
      <c r="T86" s="141"/>
      <c r="U86" s="141"/>
      <c r="V86" s="141"/>
      <c r="W86" s="141"/>
      <c r="X86" s="141"/>
      <c r="Y86" s="41"/>
      <c r="Z86" s="41"/>
      <c r="AA86" s="40"/>
      <c r="AB86"/>
      <c r="AC86"/>
      <c r="AD86"/>
      <c r="AE86"/>
      <c r="AF86"/>
      <c r="AG86"/>
      <c r="AH86" s="41"/>
      <c r="AI86" s="41"/>
      <c r="AJ86" s="42"/>
      <c r="AK86" s="43"/>
      <c r="AL86" s="43"/>
      <c r="AM86" s="43"/>
      <c r="AN86" s="43"/>
      <c r="AO86" s="43"/>
      <c r="AP86" s="43"/>
      <c r="AQ86" s="44"/>
      <c r="AR86" s="44" t="str">
        <f t="shared" si="6"/>
        <v/>
      </c>
    </row>
    <row r="87" spans="1:44" ht="12.75">
      <c r="A87" s="141"/>
      <c r="B87" s="142"/>
      <c r="C87" s="143"/>
      <c r="I87" s="142"/>
      <c r="K87"/>
      <c r="L87"/>
      <c r="M87"/>
      <c r="N87"/>
      <c r="O87"/>
      <c r="R87" s="82"/>
      <c r="S87" s="141"/>
      <c r="T87" s="141"/>
      <c r="U87" s="141"/>
      <c r="V87" s="141"/>
      <c r="W87" s="141"/>
      <c r="X87" s="141"/>
      <c r="Y87" s="41"/>
      <c r="Z87" s="41"/>
      <c r="AA87" s="40"/>
      <c r="AB87"/>
      <c r="AC87"/>
      <c r="AD87"/>
      <c r="AE87"/>
      <c r="AF87"/>
      <c r="AG87"/>
      <c r="AH87" s="41"/>
      <c r="AI87" s="41"/>
      <c r="AJ87" s="42"/>
      <c r="AK87" s="43"/>
      <c r="AL87" s="43"/>
      <c r="AM87" s="43"/>
      <c r="AN87" s="43"/>
      <c r="AO87" s="43"/>
      <c r="AP87" s="43"/>
      <c r="AQ87" s="44"/>
      <c r="AR87" s="44" t="str">
        <f t="shared" si="6"/>
        <v/>
      </c>
    </row>
    <row r="88" spans="1:44" ht="12.75">
      <c r="A88" s="141"/>
      <c r="B88" s="142"/>
      <c r="C88" s="143"/>
      <c r="I88" s="142"/>
      <c r="K88"/>
      <c r="L88"/>
      <c r="M88"/>
      <c r="N88"/>
      <c r="O88"/>
      <c r="R88" s="82"/>
      <c r="S88" s="141"/>
      <c r="T88" s="141"/>
      <c r="U88" s="141"/>
      <c r="V88" s="141"/>
      <c r="W88" s="141"/>
      <c r="X88" s="141"/>
      <c r="Y88" s="41"/>
      <c r="Z88" s="41"/>
      <c r="AA88" s="40"/>
      <c r="AB88"/>
      <c r="AC88"/>
      <c r="AD88"/>
      <c r="AE88"/>
      <c r="AF88"/>
      <c r="AG88"/>
      <c r="AH88" s="41"/>
      <c r="AI88" s="41"/>
      <c r="AJ88" s="42"/>
      <c r="AK88" s="43"/>
      <c r="AL88" s="43"/>
      <c r="AM88" s="43"/>
      <c r="AN88" s="43"/>
      <c r="AO88" s="43"/>
      <c r="AP88" s="43"/>
      <c r="AQ88" s="44"/>
      <c r="AR88" s="44" t="str">
        <f t="shared" si="6"/>
        <v/>
      </c>
    </row>
    <row r="89" spans="1:44" ht="12.75">
      <c r="A89" s="141"/>
      <c r="B89" s="142"/>
      <c r="C89" s="143"/>
      <c r="I89" s="142"/>
      <c r="K89"/>
      <c r="L89"/>
      <c r="M89"/>
      <c r="N89"/>
      <c r="O89"/>
      <c r="R89" s="82"/>
      <c r="S89" s="141"/>
      <c r="T89" s="141"/>
      <c r="U89" s="141"/>
      <c r="V89" s="141"/>
      <c r="W89" s="141"/>
      <c r="X89" s="141"/>
      <c r="Y89" s="41"/>
      <c r="Z89" s="41"/>
      <c r="AA89" s="40"/>
      <c r="AB89"/>
      <c r="AC89"/>
      <c r="AD89"/>
      <c r="AE89"/>
      <c r="AF89"/>
      <c r="AG89"/>
      <c r="AH89" s="41"/>
      <c r="AI89" s="41"/>
      <c r="AJ89" s="42"/>
      <c r="AK89" s="43"/>
      <c r="AL89" s="43"/>
      <c r="AM89" s="43"/>
      <c r="AN89" s="43"/>
      <c r="AO89" s="43"/>
      <c r="AP89" s="43"/>
      <c r="AQ89" s="44"/>
      <c r="AR89" s="44" t="str">
        <f t="shared" si="6"/>
        <v/>
      </c>
    </row>
    <row r="90" spans="1:44" ht="12.75">
      <c r="A90" s="141"/>
      <c r="B90" s="142"/>
      <c r="C90" s="143"/>
      <c r="I90" s="142"/>
      <c r="K90"/>
      <c r="L90"/>
      <c r="M90"/>
      <c r="N90"/>
      <c r="O90"/>
      <c r="R90" s="82"/>
      <c r="S90" s="141"/>
      <c r="T90" s="141"/>
      <c r="U90" s="141"/>
      <c r="V90" s="141"/>
      <c r="W90" s="141"/>
      <c r="X90" s="141"/>
      <c r="Y90" s="41"/>
      <c r="Z90" s="41"/>
      <c r="AA90" s="40"/>
      <c r="AB90"/>
      <c r="AC90"/>
      <c r="AD90"/>
      <c r="AE90"/>
      <c r="AF90"/>
      <c r="AG90"/>
      <c r="AH90" s="41"/>
      <c r="AI90" s="41"/>
      <c r="AJ90" s="42"/>
      <c r="AK90" s="43"/>
      <c r="AL90" s="43"/>
      <c r="AM90" s="43"/>
      <c r="AN90" s="43"/>
      <c r="AO90" s="43"/>
      <c r="AP90" s="43"/>
      <c r="AQ90" s="44"/>
      <c r="AR90" s="44" t="str">
        <f t="shared" si="6"/>
        <v/>
      </c>
    </row>
    <row r="91" spans="1:44" ht="12.75">
      <c r="A91" s="141"/>
      <c r="B91" s="142"/>
      <c r="C91" s="143"/>
      <c r="I91" s="142"/>
      <c r="K91"/>
      <c r="L91"/>
      <c r="M91"/>
      <c r="N91"/>
      <c r="O91"/>
      <c r="R91" s="82"/>
      <c r="S91" s="141"/>
      <c r="T91" s="141"/>
      <c r="U91" s="141"/>
      <c r="V91" s="141"/>
      <c r="W91" s="141"/>
      <c r="X91" s="141"/>
      <c r="Y91" s="41"/>
      <c r="Z91" s="41"/>
      <c r="AA91" s="40"/>
      <c r="AB91"/>
      <c r="AC91"/>
      <c r="AD91"/>
      <c r="AE91"/>
      <c r="AF91"/>
      <c r="AG91"/>
      <c r="AH91" s="41"/>
      <c r="AI91" s="41"/>
      <c r="AJ91" s="42"/>
      <c r="AK91" s="43"/>
      <c r="AL91" s="43"/>
      <c r="AM91" s="43"/>
      <c r="AN91" s="43"/>
      <c r="AO91" s="43"/>
      <c r="AP91" s="43"/>
      <c r="AQ91" s="44"/>
      <c r="AR91" s="44" t="str">
        <f t="shared" si="6"/>
        <v/>
      </c>
    </row>
    <row r="92" spans="1:44" ht="12.75">
      <c r="A92" s="141"/>
      <c r="B92" s="142"/>
      <c r="C92" s="143"/>
      <c r="I92" s="142"/>
      <c r="K92"/>
      <c r="L92"/>
      <c r="M92"/>
      <c r="N92"/>
      <c r="O92"/>
      <c r="R92" s="82"/>
      <c r="S92" s="141"/>
      <c r="T92" s="141"/>
      <c r="U92" s="141"/>
      <c r="V92" s="141"/>
      <c r="W92" s="141"/>
      <c r="X92" s="141"/>
      <c r="Y92" s="41"/>
      <c r="Z92" s="41"/>
      <c r="AA92" s="40"/>
      <c r="AB92"/>
      <c r="AC92"/>
      <c r="AD92"/>
      <c r="AE92"/>
      <c r="AF92"/>
      <c r="AG92"/>
      <c r="AH92" s="41"/>
      <c r="AI92" s="41"/>
      <c r="AJ92" s="42"/>
      <c r="AK92" s="43"/>
      <c r="AL92" s="43"/>
      <c r="AM92" s="43"/>
      <c r="AN92" s="43"/>
      <c r="AO92" s="43"/>
      <c r="AP92" s="43"/>
      <c r="AQ92" s="44"/>
      <c r="AR92" s="44" t="str">
        <f t="shared" si="6"/>
        <v/>
      </c>
    </row>
    <row r="93" spans="1:44" ht="12.75">
      <c r="A93" s="141"/>
      <c r="B93" s="142"/>
      <c r="C93" s="143"/>
      <c r="I93" s="142"/>
      <c r="K93"/>
      <c r="L93"/>
      <c r="M93"/>
      <c r="N93"/>
      <c r="O93"/>
      <c r="R93" s="82"/>
      <c r="S93" s="141"/>
      <c r="T93" s="141"/>
      <c r="U93" s="141"/>
      <c r="V93" s="141"/>
      <c r="W93" s="141"/>
      <c r="X93" s="141"/>
      <c r="Y93" s="41"/>
      <c r="Z93" s="41"/>
      <c r="AA93" s="40"/>
      <c r="AB93"/>
      <c r="AC93"/>
      <c r="AD93"/>
      <c r="AE93"/>
      <c r="AF93"/>
      <c r="AG93"/>
      <c r="AH93" s="41"/>
      <c r="AI93" s="41"/>
      <c r="AJ93" s="42"/>
      <c r="AK93" s="43"/>
      <c r="AL93" s="43"/>
      <c r="AM93" s="43"/>
      <c r="AN93" s="43"/>
      <c r="AO93" s="43"/>
      <c r="AP93" s="43"/>
      <c r="AQ93" s="44"/>
      <c r="AR93" s="44" t="str">
        <f t="shared" si="6"/>
        <v/>
      </c>
    </row>
    <row r="94" spans="1:44" ht="12.75">
      <c r="A94" s="141"/>
      <c r="B94" s="142"/>
      <c r="C94" s="143"/>
      <c r="I94" s="142"/>
      <c r="K94"/>
      <c r="L94"/>
      <c r="M94"/>
      <c r="N94"/>
      <c r="O94"/>
      <c r="R94" s="82"/>
      <c r="S94" s="141"/>
      <c r="T94" s="141"/>
      <c r="U94" s="141"/>
      <c r="V94" s="141"/>
      <c r="W94" s="141"/>
      <c r="X94" s="141"/>
      <c r="Y94" s="41"/>
      <c r="Z94" s="41"/>
      <c r="AA94" s="40"/>
      <c r="AB94"/>
      <c r="AC94"/>
      <c r="AD94"/>
      <c r="AE94"/>
      <c r="AF94"/>
      <c r="AG94"/>
      <c r="AH94" s="41"/>
      <c r="AI94" s="41"/>
      <c r="AJ94" s="42"/>
      <c r="AK94" s="43"/>
      <c r="AL94" s="43"/>
      <c r="AM94" s="43"/>
      <c r="AN94" s="43"/>
      <c r="AO94" s="43"/>
      <c r="AP94" s="43"/>
      <c r="AQ94" s="44"/>
      <c r="AR94" s="44" t="str">
        <f t="shared" si="6"/>
        <v/>
      </c>
    </row>
    <row r="95" spans="1:44" ht="12.75">
      <c r="A95" s="141"/>
      <c r="B95" s="142"/>
      <c r="C95" s="143"/>
      <c r="I95" s="142"/>
      <c r="K95"/>
      <c r="L95"/>
      <c r="M95"/>
      <c r="N95"/>
      <c r="O95"/>
      <c r="R95" s="82"/>
      <c r="S95" s="141"/>
      <c r="T95" s="141"/>
      <c r="U95" s="141"/>
      <c r="V95" s="141"/>
      <c r="W95" s="141"/>
      <c r="X95" s="141"/>
      <c r="Y95" s="41"/>
      <c r="Z95" s="41"/>
      <c r="AA95" s="40"/>
      <c r="AB95"/>
      <c r="AC95"/>
      <c r="AD95"/>
      <c r="AE95"/>
      <c r="AF95"/>
      <c r="AG95"/>
      <c r="AH95" s="41"/>
      <c r="AI95" s="41"/>
      <c r="AJ95" s="42"/>
      <c r="AK95" s="43"/>
      <c r="AL95" s="43"/>
      <c r="AM95" s="43"/>
      <c r="AN95" s="43"/>
      <c r="AO95" s="43"/>
      <c r="AP95" s="43"/>
      <c r="AQ95" s="44"/>
      <c r="AR95" s="44" t="str">
        <f t="shared" si="6"/>
        <v/>
      </c>
    </row>
    <row r="96" spans="1:44" ht="12.75">
      <c r="A96" s="141"/>
      <c r="B96" s="142"/>
      <c r="C96" s="143"/>
      <c r="I96" s="142"/>
      <c r="K96"/>
      <c r="L96"/>
      <c r="M96"/>
      <c r="N96"/>
      <c r="O96"/>
      <c r="R96" s="82"/>
      <c r="S96" s="141"/>
      <c r="T96" s="141"/>
      <c r="U96" s="141"/>
      <c r="V96" s="141"/>
      <c r="W96" s="141"/>
      <c r="X96" s="141"/>
      <c r="Y96" s="41"/>
      <c r="Z96" s="41"/>
      <c r="AA96" s="40"/>
      <c r="AB96"/>
      <c r="AC96"/>
      <c r="AD96"/>
      <c r="AE96"/>
      <c r="AF96"/>
      <c r="AG96"/>
      <c r="AH96" s="41"/>
      <c r="AI96" s="41"/>
      <c r="AJ96" s="42"/>
      <c r="AK96" s="43"/>
      <c r="AL96" s="43"/>
      <c r="AM96" s="43"/>
      <c r="AN96" s="43"/>
      <c r="AO96" s="43"/>
      <c r="AP96" s="43"/>
      <c r="AQ96" s="44"/>
      <c r="AR96" s="44" t="str">
        <f t="shared" si="6"/>
        <v/>
      </c>
    </row>
    <row r="97" spans="1:44" ht="12.75">
      <c r="A97" s="141"/>
      <c r="B97" s="142"/>
      <c r="C97" s="143"/>
      <c r="I97" s="142"/>
      <c r="K97"/>
      <c r="L97"/>
      <c r="M97"/>
      <c r="N97"/>
      <c r="O97"/>
      <c r="R97" s="82"/>
      <c r="S97" s="141"/>
      <c r="T97" s="141"/>
      <c r="U97" s="141"/>
      <c r="V97" s="141"/>
      <c r="W97" s="141"/>
      <c r="X97" s="141"/>
      <c r="Y97" s="41"/>
      <c r="Z97" s="41"/>
      <c r="AA97" s="40"/>
      <c r="AB97"/>
      <c r="AC97"/>
      <c r="AD97"/>
      <c r="AE97"/>
      <c r="AF97"/>
      <c r="AG97"/>
      <c r="AH97" s="41"/>
      <c r="AI97" s="41"/>
      <c r="AJ97" s="42"/>
      <c r="AK97" s="43"/>
      <c r="AL97" s="43"/>
      <c r="AM97" s="43"/>
      <c r="AN97" s="43"/>
      <c r="AO97" s="43"/>
      <c r="AP97" s="43"/>
      <c r="AQ97" s="44"/>
      <c r="AR97" s="44" t="str">
        <f t="shared" si="6"/>
        <v/>
      </c>
    </row>
    <row r="98" spans="1:44" ht="12.75">
      <c r="A98" s="141"/>
      <c r="B98" s="142"/>
      <c r="C98" s="143"/>
      <c r="I98" s="142"/>
      <c r="K98"/>
      <c r="L98"/>
      <c r="M98"/>
      <c r="N98"/>
      <c r="O98"/>
      <c r="R98" s="82"/>
      <c r="S98" s="141"/>
      <c r="T98" s="141"/>
      <c r="U98" s="141"/>
      <c r="V98" s="141"/>
      <c r="W98" s="141"/>
      <c r="X98" s="141"/>
      <c r="Y98" s="41"/>
      <c r="Z98" s="41"/>
      <c r="AA98" s="40"/>
      <c r="AB98"/>
      <c r="AC98"/>
      <c r="AD98"/>
      <c r="AE98"/>
      <c r="AF98"/>
      <c r="AG98"/>
      <c r="AH98" s="41"/>
      <c r="AI98" s="41"/>
      <c r="AJ98" s="42"/>
      <c r="AK98" s="43"/>
      <c r="AL98" s="43"/>
      <c r="AM98" s="43"/>
      <c r="AN98" s="43"/>
      <c r="AO98" s="43"/>
      <c r="AP98" s="43"/>
      <c r="AQ98" s="44"/>
      <c r="AR98" s="44" t="str">
        <f t="shared" si="6"/>
        <v/>
      </c>
    </row>
    <row r="99" spans="1:44" ht="12.75">
      <c r="A99" s="141"/>
      <c r="B99" s="142"/>
      <c r="C99" s="143"/>
      <c r="I99" s="142"/>
      <c r="K99"/>
      <c r="L99"/>
      <c r="M99"/>
      <c r="N99"/>
      <c r="O99"/>
      <c r="R99" s="82"/>
      <c r="S99" s="141"/>
      <c r="T99" s="141"/>
      <c r="U99" s="141"/>
      <c r="V99" s="141"/>
      <c r="W99" s="141"/>
      <c r="X99" s="141"/>
      <c r="Y99" s="41"/>
      <c r="Z99" s="41"/>
      <c r="AA99" s="40"/>
      <c r="AB99"/>
      <c r="AC99"/>
      <c r="AD99" s="2"/>
      <c r="AE99"/>
      <c r="AF99"/>
      <c r="AG99"/>
      <c r="AH99" s="41"/>
      <c r="AI99" s="41"/>
      <c r="AJ99" s="42"/>
      <c r="AK99" s="43"/>
      <c r="AL99" s="43"/>
      <c r="AM99" s="43"/>
      <c r="AN99" s="43"/>
      <c r="AO99" s="43"/>
      <c r="AP99" s="43"/>
      <c r="AQ99" s="44"/>
      <c r="AR99" s="44" t="str">
        <f t="shared" si="6"/>
        <v/>
      </c>
    </row>
    <row r="100" spans="1:44" ht="12.75">
      <c r="A100" s="141"/>
      <c r="B100" s="142"/>
      <c r="C100" s="143"/>
      <c r="I100" s="142"/>
      <c r="K100"/>
      <c r="L100"/>
      <c r="M100"/>
      <c r="N100"/>
      <c r="O100"/>
      <c r="R100" s="82"/>
      <c r="S100" s="141"/>
      <c r="T100" s="141"/>
      <c r="U100" s="141"/>
      <c r="V100" s="141"/>
      <c r="W100" s="141"/>
      <c r="X100" s="141"/>
      <c r="Y100" s="41"/>
      <c r="Z100" s="41"/>
      <c r="AA100" s="40"/>
      <c r="AB100"/>
      <c r="AC100"/>
      <c r="AD100"/>
      <c r="AE100"/>
      <c r="AF100"/>
      <c r="AG100"/>
      <c r="AH100" s="41"/>
      <c r="AI100" s="41"/>
      <c r="AJ100" s="42"/>
      <c r="AK100" s="43"/>
      <c r="AL100" s="43"/>
      <c r="AM100" s="43"/>
      <c r="AN100" s="43"/>
      <c r="AO100" s="43"/>
      <c r="AP100" s="43"/>
      <c r="AQ100" s="44"/>
      <c r="AR100" s="44" t="str">
        <f t="shared" si="6"/>
        <v/>
      </c>
    </row>
    <row r="101" spans="1:44" ht="12.75">
      <c r="A101" s="141"/>
      <c r="B101" s="142"/>
      <c r="C101" s="143"/>
      <c r="I101" s="142"/>
      <c r="K101"/>
      <c r="L101"/>
      <c r="M101"/>
      <c r="N101"/>
      <c r="O101"/>
      <c r="R101" s="82"/>
      <c r="S101" s="141"/>
      <c r="T101" s="141"/>
      <c r="U101" s="141"/>
      <c r="V101" s="141"/>
      <c r="W101" s="141"/>
      <c r="X101" s="141"/>
      <c r="Y101" s="41"/>
      <c r="Z101" s="41"/>
      <c r="AA101" s="40"/>
      <c r="AB101"/>
      <c r="AC101"/>
      <c r="AD101"/>
      <c r="AE101"/>
      <c r="AF101"/>
      <c r="AG101"/>
      <c r="AH101" s="41"/>
      <c r="AI101" s="41"/>
      <c r="AJ101" s="42"/>
      <c r="AK101" s="43"/>
      <c r="AL101" s="43"/>
      <c r="AM101" s="43"/>
      <c r="AN101" s="43"/>
      <c r="AO101" s="43"/>
      <c r="AP101" s="43"/>
      <c r="AQ101" s="44"/>
      <c r="AR101" s="44" t="str">
        <f t="shared" si="6"/>
        <v/>
      </c>
    </row>
    <row r="102" spans="1:44" ht="12.75">
      <c r="A102" s="141"/>
      <c r="B102" s="142"/>
      <c r="C102" s="143"/>
      <c r="I102" s="142"/>
      <c r="K102"/>
      <c r="L102"/>
      <c r="M102"/>
      <c r="N102"/>
      <c r="O102"/>
      <c r="R102" s="82"/>
      <c r="S102" s="141"/>
      <c r="T102" s="141"/>
      <c r="U102" s="141"/>
      <c r="V102" s="141"/>
      <c r="W102" s="141"/>
      <c r="X102" s="141"/>
      <c r="Y102" s="41"/>
      <c r="Z102" s="41"/>
      <c r="AA102" s="40"/>
      <c r="AB102"/>
      <c r="AC102"/>
      <c r="AD102"/>
      <c r="AE102"/>
      <c r="AF102"/>
      <c r="AG102"/>
      <c r="AH102" s="41"/>
      <c r="AI102" s="41"/>
      <c r="AJ102" s="42"/>
      <c r="AK102" s="43"/>
      <c r="AL102" s="43"/>
      <c r="AM102" s="43"/>
      <c r="AN102" s="43"/>
      <c r="AO102" s="43"/>
      <c r="AP102" s="43"/>
      <c r="AQ102" s="44"/>
      <c r="AR102" s="44" t="str">
        <f t="shared" si="6"/>
        <v/>
      </c>
    </row>
    <row r="103" spans="1:44" ht="12.75">
      <c r="A103" s="141"/>
      <c r="B103" s="142"/>
      <c r="C103" s="143"/>
      <c r="I103" s="142"/>
      <c r="K103"/>
      <c r="L103"/>
      <c r="M103"/>
      <c r="N103"/>
      <c r="O103"/>
      <c r="R103" s="82"/>
      <c r="S103" s="141"/>
      <c r="T103" s="141"/>
      <c r="U103" s="141"/>
      <c r="V103" s="141"/>
      <c r="W103" s="141"/>
      <c r="X103" s="141"/>
      <c r="Y103" s="41"/>
      <c r="Z103" s="41"/>
      <c r="AA103" s="40"/>
      <c r="AB103"/>
      <c r="AC103"/>
      <c r="AD103"/>
      <c r="AE103"/>
      <c r="AF103"/>
      <c r="AG103"/>
      <c r="AH103" s="41"/>
      <c r="AI103" s="41"/>
      <c r="AJ103" s="42"/>
      <c r="AK103" s="43"/>
      <c r="AL103" s="43"/>
      <c r="AM103" s="43"/>
      <c r="AN103" s="43"/>
      <c r="AO103" s="43"/>
      <c r="AP103" s="43"/>
      <c r="AQ103" s="44"/>
      <c r="AR103" s="44" t="str">
        <f t="shared" si="6"/>
        <v/>
      </c>
    </row>
    <row r="104" spans="1:44" ht="12.75">
      <c r="A104" s="141"/>
      <c r="B104" s="142"/>
      <c r="C104" s="143"/>
      <c r="I104" s="142"/>
      <c r="K104"/>
      <c r="L104"/>
      <c r="M104"/>
      <c r="N104"/>
      <c r="O104"/>
      <c r="R104" s="82"/>
      <c r="S104" s="141"/>
      <c r="T104" s="141"/>
      <c r="U104" s="141"/>
      <c r="V104" s="141"/>
      <c r="W104" s="141"/>
      <c r="X104" s="141"/>
      <c r="Y104" s="41"/>
      <c r="Z104" s="41"/>
      <c r="AA104" s="40"/>
      <c r="AB104"/>
      <c r="AC104"/>
      <c r="AD104"/>
      <c r="AE104"/>
      <c r="AF104"/>
      <c r="AG104"/>
      <c r="AH104" s="41"/>
      <c r="AI104" s="41"/>
      <c r="AJ104" s="42"/>
      <c r="AK104" s="43"/>
      <c r="AL104" s="43"/>
      <c r="AM104" s="43"/>
      <c r="AN104" s="43"/>
      <c r="AO104" s="43"/>
      <c r="AP104" s="43"/>
      <c r="AQ104" s="44"/>
      <c r="AR104" s="44" t="str">
        <f t="shared" si="6"/>
        <v/>
      </c>
    </row>
    <row r="105" spans="1:44" ht="12.75">
      <c r="A105" s="141"/>
      <c r="B105" s="142"/>
      <c r="C105" s="143"/>
      <c r="I105" s="142"/>
      <c r="K105"/>
      <c r="L105"/>
      <c r="M105"/>
      <c r="N105"/>
      <c r="O105"/>
      <c r="R105" s="82"/>
      <c r="S105" s="141"/>
      <c r="T105" s="141"/>
      <c r="U105" s="141"/>
      <c r="V105" s="141"/>
      <c r="W105" s="141"/>
      <c r="X105" s="141"/>
      <c r="Y105" s="41"/>
      <c r="Z105" s="41"/>
      <c r="AA105" s="40"/>
      <c r="AB105"/>
      <c r="AC105"/>
      <c r="AD105"/>
      <c r="AE105"/>
      <c r="AF105"/>
      <c r="AG105"/>
      <c r="AH105" s="41"/>
      <c r="AI105" s="41"/>
      <c r="AJ105" s="42"/>
      <c r="AK105" s="43"/>
      <c r="AL105" s="43"/>
      <c r="AM105" s="43"/>
      <c r="AN105" s="43"/>
      <c r="AO105" s="43"/>
      <c r="AP105" s="43"/>
      <c r="AQ105" s="44"/>
      <c r="AR105" s="44" t="str">
        <f t="shared" si="6"/>
        <v/>
      </c>
    </row>
    <row r="106" spans="1:44" ht="12.75">
      <c r="A106" s="141"/>
      <c r="B106" s="142"/>
      <c r="C106" s="143"/>
      <c r="I106" s="142"/>
      <c r="K106"/>
      <c r="L106"/>
      <c r="M106"/>
      <c r="N106"/>
      <c r="O106"/>
      <c r="R106" s="82"/>
      <c r="S106" s="141"/>
      <c r="T106" s="141"/>
      <c r="U106" s="141"/>
      <c r="V106" s="141"/>
      <c r="W106" s="141"/>
      <c r="X106" s="141"/>
      <c r="Y106" s="41"/>
      <c r="Z106" s="41"/>
      <c r="AA106" s="40"/>
      <c r="AB106"/>
      <c r="AC106"/>
      <c r="AD106"/>
      <c r="AE106"/>
      <c r="AF106"/>
      <c r="AG106"/>
      <c r="AH106" s="41"/>
      <c r="AI106" s="41"/>
      <c r="AJ106" s="42"/>
      <c r="AK106" s="43"/>
      <c r="AL106" s="43"/>
      <c r="AM106" s="43"/>
      <c r="AN106" s="43"/>
      <c r="AO106" s="43"/>
      <c r="AP106" s="43"/>
      <c r="AQ106" s="44"/>
      <c r="AR106" s="44" t="str">
        <f t="shared" si="6"/>
        <v/>
      </c>
    </row>
    <row r="107" spans="1:44" ht="12.75">
      <c r="A107" s="141"/>
      <c r="B107" s="142"/>
      <c r="C107" s="143"/>
      <c r="I107" s="142"/>
      <c r="K107"/>
      <c r="L107"/>
      <c r="M107"/>
      <c r="N107"/>
      <c r="O107"/>
      <c r="R107" s="82"/>
      <c r="S107" s="141"/>
      <c r="T107" s="141"/>
      <c r="U107" s="141"/>
      <c r="V107" s="141"/>
      <c r="W107" s="141"/>
      <c r="X107" s="141"/>
      <c r="Y107" s="41"/>
      <c r="Z107" s="41"/>
      <c r="AA107" s="40"/>
      <c r="AB107"/>
      <c r="AC107"/>
      <c r="AD107"/>
      <c r="AE107"/>
      <c r="AF107"/>
      <c r="AG107"/>
      <c r="AH107" s="41"/>
      <c r="AI107" s="41"/>
      <c r="AJ107" s="42"/>
      <c r="AK107" s="43"/>
      <c r="AL107" s="43"/>
      <c r="AM107" s="43"/>
      <c r="AN107" s="43"/>
      <c r="AO107" s="43"/>
      <c r="AP107" s="43"/>
      <c r="AQ107" s="44"/>
      <c r="AR107" s="44" t="str">
        <f t="shared" si="6"/>
        <v/>
      </c>
    </row>
    <row r="108" spans="1:44" ht="12.75">
      <c r="A108" s="141"/>
      <c r="B108" s="142"/>
      <c r="C108" s="143"/>
      <c r="I108" s="142"/>
      <c r="K108"/>
      <c r="L108"/>
      <c r="M108"/>
      <c r="N108"/>
      <c r="O108"/>
      <c r="R108" s="82"/>
      <c r="S108" s="141"/>
      <c r="T108" s="141"/>
      <c r="U108" s="141"/>
      <c r="V108" s="141"/>
      <c r="W108" s="141"/>
      <c r="X108" s="141"/>
      <c r="Y108" s="41"/>
      <c r="Z108" s="41"/>
      <c r="AA108" s="40"/>
      <c r="AB108"/>
      <c r="AC108"/>
      <c r="AD108"/>
      <c r="AE108"/>
      <c r="AF108"/>
      <c r="AG108"/>
      <c r="AH108" s="41"/>
      <c r="AI108" s="41"/>
      <c r="AJ108" s="42"/>
      <c r="AK108" s="43"/>
      <c r="AL108" s="43"/>
      <c r="AM108" s="43"/>
      <c r="AN108" s="43"/>
      <c r="AO108" s="43"/>
      <c r="AP108" s="43"/>
      <c r="AQ108" s="44"/>
      <c r="AR108" s="44" t="str">
        <f t="shared" si="6"/>
        <v/>
      </c>
    </row>
    <row r="109" spans="1:44" ht="12.75">
      <c r="A109" s="141"/>
      <c r="B109" s="142"/>
      <c r="C109" s="143"/>
      <c r="I109" s="142"/>
      <c r="K109"/>
      <c r="L109"/>
      <c r="M109"/>
      <c r="N109"/>
      <c r="O109"/>
      <c r="R109" s="82"/>
      <c r="S109" s="141"/>
      <c r="T109" s="141"/>
      <c r="U109" s="141"/>
      <c r="V109" s="141"/>
      <c r="W109" s="141"/>
      <c r="X109" s="141"/>
      <c r="Y109" s="41"/>
      <c r="Z109" s="41"/>
      <c r="AA109" s="40"/>
      <c r="AB109"/>
      <c r="AC109"/>
      <c r="AD109"/>
      <c r="AE109"/>
      <c r="AF109"/>
      <c r="AG109"/>
      <c r="AH109" s="41"/>
      <c r="AI109" s="41"/>
      <c r="AJ109" s="42"/>
      <c r="AK109" s="43"/>
      <c r="AL109" s="43"/>
      <c r="AM109" s="43"/>
      <c r="AN109" s="43"/>
      <c r="AO109" s="43"/>
      <c r="AP109" s="43"/>
      <c r="AQ109" s="44"/>
      <c r="AR109" s="44" t="str">
        <f t="shared" si="6"/>
        <v/>
      </c>
    </row>
    <row r="110" spans="1:44" ht="12.75">
      <c r="A110" s="141"/>
      <c r="B110" s="142"/>
      <c r="C110" s="143"/>
      <c r="I110" s="142"/>
      <c r="K110"/>
      <c r="L110"/>
      <c r="M110"/>
      <c r="N110"/>
      <c r="O110"/>
      <c r="R110" s="82"/>
      <c r="S110" s="141"/>
      <c r="T110" s="141"/>
      <c r="U110" s="141"/>
      <c r="V110" s="141"/>
      <c r="W110" s="141"/>
      <c r="X110" s="141"/>
      <c r="Y110" s="41"/>
      <c r="Z110" s="41"/>
      <c r="AA110" s="40"/>
      <c r="AB110"/>
      <c r="AC110"/>
      <c r="AD110"/>
      <c r="AE110"/>
      <c r="AF110"/>
      <c r="AG110"/>
      <c r="AH110" s="41"/>
      <c r="AI110" s="41"/>
      <c r="AJ110" s="42"/>
      <c r="AK110" s="43"/>
      <c r="AL110" s="43"/>
      <c r="AM110" s="43"/>
      <c r="AN110" s="43"/>
      <c r="AO110" s="43"/>
      <c r="AP110" s="43"/>
      <c r="AQ110" s="44"/>
      <c r="AR110" s="44" t="str">
        <f t="shared" si="6"/>
        <v/>
      </c>
    </row>
    <row r="111" spans="1:44" ht="12.75">
      <c r="A111" s="141"/>
      <c r="B111" s="142"/>
      <c r="C111" s="143"/>
      <c r="I111" s="142"/>
      <c r="K111"/>
      <c r="L111"/>
      <c r="M111"/>
      <c r="N111"/>
      <c r="O111"/>
      <c r="R111" s="82"/>
      <c r="S111" s="141"/>
      <c r="T111" s="141"/>
      <c r="U111" s="141"/>
      <c r="V111" s="141"/>
      <c r="W111" s="141"/>
      <c r="X111" s="141"/>
      <c r="Y111" s="41"/>
      <c r="Z111" s="41"/>
      <c r="AA111" s="40"/>
      <c r="AB111"/>
      <c r="AC111"/>
      <c r="AD111"/>
      <c r="AE111"/>
      <c r="AF111"/>
      <c r="AG111"/>
      <c r="AH111" s="41"/>
      <c r="AI111" s="41"/>
      <c r="AJ111" s="42"/>
      <c r="AK111" s="43"/>
      <c r="AL111" s="43"/>
      <c r="AM111" s="43"/>
      <c r="AN111" s="43"/>
      <c r="AO111" s="43"/>
      <c r="AP111" s="43"/>
      <c r="AQ111" s="44"/>
      <c r="AR111" s="44" t="str">
        <f t="shared" si="6"/>
        <v/>
      </c>
    </row>
    <row r="112" spans="1:44" ht="12.75">
      <c r="A112" s="141"/>
      <c r="B112" s="142"/>
      <c r="C112" s="143"/>
      <c r="I112" s="142"/>
      <c r="K112"/>
      <c r="L112"/>
      <c r="M112"/>
      <c r="N112"/>
      <c r="O112"/>
      <c r="R112" s="82"/>
      <c r="S112" s="141"/>
      <c r="T112" s="141"/>
      <c r="U112" s="141"/>
      <c r="V112" s="141"/>
      <c r="W112" s="141"/>
      <c r="X112" s="141"/>
      <c r="Y112" s="41"/>
      <c r="Z112" s="41"/>
      <c r="AA112" s="40"/>
      <c r="AB112"/>
      <c r="AC112"/>
      <c r="AD112"/>
      <c r="AE112"/>
      <c r="AF112"/>
      <c r="AG112"/>
      <c r="AH112" s="41"/>
      <c r="AI112" s="41"/>
      <c r="AJ112" s="42"/>
      <c r="AK112" s="43"/>
      <c r="AL112" s="43"/>
      <c r="AM112" s="43"/>
      <c r="AN112" s="43"/>
      <c r="AO112" s="43"/>
      <c r="AP112" s="43"/>
      <c r="AQ112" s="44"/>
      <c r="AR112" s="44" t="str">
        <f t="shared" si="6"/>
        <v/>
      </c>
    </row>
    <row r="113" spans="1:44" ht="12.75">
      <c r="A113" s="141"/>
      <c r="B113" s="142"/>
      <c r="C113" s="143"/>
      <c r="I113" s="142"/>
      <c r="K113"/>
      <c r="L113"/>
      <c r="M113"/>
      <c r="N113"/>
      <c r="O113"/>
      <c r="R113" s="82"/>
      <c r="S113" s="141"/>
      <c r="T113" s="141"/>
      <c r="U113" s="141"/>
      <c r="V113" s="141"/>
      <c r="W113" s="141"/>
      <c r="X113" s="141"/>
      <c r="Y113" s="41"/>
      <c r="Z113" s="41"/>
      <c r="AA113" s="40"/>
      <c r="AB113"/>
      <c r="AC113"/>
      <c r="AD113"/>
      <c r="AE113"/>
      <c r="AF113"/>
      <c r="AG113"/>
      <c r="AH113" s="41"/>
      <c r="AI113" s="41"/>
      <c r="AJ113" s="42"/>
      <c r="AK113" s="43"/>
      <c r="AL113" s="43"/>
      <c r="AM113" s="43"/>
      <c r="AN113" s="43"/>
      <c r="AO113" s="43"/>
      <c r="AP113" s="43"/>
      <c r="AQ113" s="44"/>
      <c r="AR113" s="44" t="str">
        <f t="shared" si="6"/>
        <v/>
      </c>
    </row>
    <row r="114" spans="1:44" ht="12.75">
      <c r="A114" s="141"/>
      <c r="B114" s="142"/>
      <c r="C114" s="143"/>
      <c r="I114" s="142"/>
      <c r="K114"/>
      <c r="L114"/>
      <c r="M114"/>
      <c r="N114"/>
      <c r="O114"/>
      <c r="R114" s="82"/>
      <c r="S114" s="141"/>
      <c r="T114" s="141"/>
      <c r="U114" s="141"/>
      <c r="V114" s="141"/>
      <c r="W114" s="141"/>
      <c r="X114" s="141"/>
      <c r="Y114" s="41"/>
      <c r="Z114" s="41"/>
      <c r="AA114" s="40"/>
      <c r="AB114"/>
      <c r="AC114"/>
      <c r="AD114"/>
      <c r="AE114"/>
      <c r="AF114"/>
      <c r="AG114"/>
      <c r="AH114" s="41"/>
      <c r="AI114" s="41"/>
      <c r="AJ114" s="42"/>
      <c r="AK114" s="43"/>
      <c r="AL114" s="43"/>
      <c r="AM114" s="43"/>
      <c r="AN114" s="43"/>
      <c r="AO114" s="43"/>
      <c r="AP114" s="43"/>
      <c r="AQ114" s="44"/>
      <c r="AR114" s="44" t="str">
        <f t="shared" si="6"/>
        <v/>
      </c>
    </row>
    <row r="115" spans="1:44" ht="12.75">
      <c r="A115" s="141"/>
      <c r="B115" s="142"/>
      <c r="C115" s="143"/>
      <c r="I115" s="142"/>
      <c r="K115"/>
      <c r="L115"/>
      <c r="M115"/>
      <c r="N115"/>
      <c r="O115"/>
      <c r="R115" s="82"/>
      <c r="S115" s="141"/>
      <c r="T115" s="141"/>
      <c r="U115" s="141"/>
      <c r="V115" s="141"/>
      <c r="W115" s="141"/>
      <c r="X115" s="141"/>
      <c r="Y115" s="41"/>
      <c r="Z115" s="41"/>
      <c r="AA115" s="40"/>
      <c r="AB115"/>
      <c r="AC115"/>
      <c r="AD115"/>
      <c r="AE115"/>
      <c r="AF115"/>
      <c r="AG115"/>
      <c r="AH115" s="41"/>
      <c r="AI115" s="41"/>
      <c r="AJ115" s="42"/>
      <c r="AK115" s="43"/>
      <c r="AL115" s="43"/>
      <c r="AM115" s="43"/>
      <c r="AN115" s="43"/>
      <c r="AO115" s="43"/>
      <c r="AP115" s="43"/>
      <c r="AQ115" s="44"/>
      <c r="AR115" s="44" t="str">
        <f t="shared" si="6"/>
        <v/>
      </c>
    </row>
    <row r="116" spans="1:44" ht="12.75">
      <c r="A116" s="141"/>
      <c r="B116" s="142"/>
      <c r="C116" s="143"/>
      <c r="I116" s="142"/>
      <c r="K116"/>
      <c r="L116"/>
      <c r="M116"/>
      <c r="N116"/>
      <c r="O116"/>
      <c r="R116" s="82"/>
      <c r="S116" s="141"/>
      <c r="T116" s="141"/>
      <c r="U116" s="141"/>
      <c r="V116" s="141"/>
      <c r="W116" s="141"/>
      <c r="X116" s="141"/>
      <c r="Y116" s="41"/>
      <c r="Z116" s="41"/>
      <c r="AA116" s="40"/>
      <c r="AB116"/>
      <c r="AC116"/>
      <c r="AD116"/>
      <c r="AE116"/>
      <c r="AF116"/>
      <c r="AG116"/>
      <c r="AH116" s="41"/>
      <c r="AI116" s="41"/>
      <c r="AJ116" s="42"/>
      <c r="AK116" s="43"/>
      <c r="AL116" s="43"/>
      <c r="AM116" s="43"/>
      <c r="AN116" s="43"/>
      <c r="AO116" s="43"/>
      <c r="AP116" s="43"/>
      <c r="AQ116" s="44"/>
      <c r="AR116" s="44" t="str">
        <f t="shared" si="6"/>
        <v/>
      </c>
    </row>
    <row r="117" spans="1:44" ht="12.75">
      <c r="A117" s="141"/>
      <c r="B117" s="142"/>
      <c r="C117" s="143"/>
      <c r="I117" s="142"/>
      <c r="K117"/>
      <c r="L117"/>
      <c r="M117"/>
      <c r="N117"/>
      <c r="O117"/>
      <c r="R117" s="82"/>
      <c r="S117" s="141"/>
      <c r="T117" s="141"/>
      <c r="U117" s="141"/>
      <c r="V117" s="141"/>
      <c r="W117" s="141"/>
      <c r="X117" s="141"/>
      <c r="Y117" s="41"/>
      <c r="Z117" s="41"/>
      <c r="AA117" s="40"/>
      <c r="AB117"/>
      <c r="AC117"/>
      <c r="AD117"/>
      <c r="AE117"/>
      <c r="AF117"/>
      <c r="AG117"/>
      <c r="AH117" s="41"/>
      <c r="AI117" s="41"/>
      <c r="AJ117" s="42"/>
      <c r="AK117" s="43"/>
      <c r="AL117" s="43"/>
      <c r="AM117" s="43"/>
      <c r="AN117" s="43"/>
      <c r="AO117" s="43"/>
      <c r="AP117" s="43"/>
      <c r="AQ117" s="44"/>
      <c r="AR117" s="44" t="str">
        <f t="shared" si="6"/>
        <v/>
      </c>
    </row>
    <row r="118" spans="1:44" ht="12.75">
      <c r="A118" s="141"/>
      <c r="B118" s="142"/>
      <c r="C118" s="143"/>
      <c r="I118" s="142"/>
      <c r="K118"/>
      <c r="L118"/>
      <c r="M118"/>
      <c r="N118"/>
      <c r="O118"/>
      <c r="R118" s="82"/>
      <c r="S118" s="141"/>
      <c r="T118" s="141"/>
      <c r="U118" s="141"/>
      <c r="V118" s="141"/>
      <c r="W118" s="141"/>
      <c r="X118" s="141"/>
      <c r="Y118" s="41"/>
      <c r="Z118" s="41"/>
      <c r="AA118" s="40"/>
      <c r="AB118"/>
      <c r="AC118"/>
      <c r="AD118"/>
      <c r="AE118"/>
      <c r="AF118"/>
      <c r="AG118"/>
      <c r="AH118" s="41"/>
      <c r="AI118" s="41"/>
      <c r="AJ118" s="42"/>
      <c r="AK118" s="43"/>
      <c r="AL118" s="43"/>
      <c r="AM118" s="43"/>
      <c r="AN118" s="43"/>
      <c r="AO118" s="43"/>
      <c r="AP118" s="43"/>
      <c r="AQ118" s="44"/>
      <c r="AR118" s="44" t="str">
        <f t="shared" si="6"/>
        <v/>
      </c>
    </row>
    <row r="119" spans="1:44" ht="12.75">
      <c r="A119" s="141"/>
      <c r="B119" s="142"/>
      <c r="C119" s="143"/>
      <c r="I119" s="142"/>
      <c r="K119"/>
      <c r="L119"/>
      <c r="M119"/>
      <c r="N119"/>
      <c r="O119"/>
      <c r="R119" s="82"/>
      <c r="S119" s="141"/>
      <c r="T119" s="141"/>
      <c r="U119" s="141"/>
      <c r="V119" s="141"/>
      <c r="W119" s="141"/>
      <c r="X119" s="141"/>
      <c r="Y119" s="41"/>
      <c r="Z119" s="41"/>
      <c r="AA119" s="40"/>
      <c r="AB119"/>
      <c r="AC119"/>
      <c r="AD119"/>
      <c r="AE119"/>
      <c r="AF119"/>
      <c r="AG119"/>
      <c r="AH119" s="41"/>
      <c r="AI119" s="41"/>
      <c r="AJ119" s="42"/>
      <c r="AK119" s="43"/>
      <c r="AL119" s="43"/>
      <c r="AM119" s="43"/>
      <c r="AN119" s="43"/>
      <c r="AO119" s="43"/>
      <c r="AP119" s="43"/>
      <c r="AQ119" s="44"/>
      <c r="AR119" s="44" t="str">
        <f t="shared" si="6"/>
        <v/>
      </c>
    </row>
    <row r="120" spans="1:44" ht="12.75">
      <c r="A120" s="141"/>
      <c r="B120" s="142"/>
      <c r="C120" s="143"/>
      <c r="I120" s="142"/>
      <c r="K120"/>
      <c r="L120"/>
      <c r="M120"/>
      <c r="N120"/>
      <c r="O120"/>
      <c r="R120" s="82"/>
      <c r="S120" s="141"/>
      <c r="T120" s="141"/>
      <c r="U120" s="141"/>
      <c r="V120" s="141"/>
      <c r="W120" s="141"/>
      <c r="X120" s="141"/>
      <c r="Y120" s="41"/>
      <c r="Z120" s="41"/>
      <c r="AA120" s="40"/>
      <c r="AB120"/>
      <c r="AC120"/>
      <c r="AD120"/>
      <c r="AE120"/>
      <c r="AF120"/>
      <c r="AG120"/>
      <c r="AH120" s="41"/>
      <c r="AI120" s="41"/>
      <c r="AJ120" s="42"/>
      <c r="AK120" s="43"/>
      <c r="AL120" s="43"/>
      <c r="AM120" s="43"/>
      <c r="AN120" s="43"/>
      <c r="AO120" s="43"/>
      <c r="AP120" s="43"/>
      <c r="AQ120" s="44"/>
      <c r="AR120" s="44" t="str">
        <f t="shared" si="6"/>
        <v/>
      </c>
    </row>
    <row r="121" spans="1:44" ht="12.75">
      <c r="A121" s="141"/>
      <c r="B121" s="142"/>
      <c r="C121" s="143"/>
      <c r="I121" s="142"/>
      <c r="K121"/>
      <c r="L121"/>
      <c r="M121"/>
      <c r="N121"/>
      <c r="O121"/>
      <c r="R121" s="82"/>
      <c r="S121" s="141"/>
      <c r="T121" s="141"/>
      <c r="U121" s="141"/>
      <c r="V121" s="141"/>
      <c r="W121" s="141"/>
      <c r="X121" s="141"/>
      <c r="Y121" s="41"/>
      <c r="Z121" s="41"/>
      <c r="AA121" s="40"/>
      <c r="AB121"/>
      <c r="AC121"/>
      <c r="AD121"/>
      <c r="AE121"/>
      <c r="AF121"/>
      <c r="AG121"/>
      <c r="AH121" s="41"/>
      <c r="AI121" s="41"/>
      <c r="AJ121" s="42"/>
      <c r="AK121" s="43"/>
      <c r="AL121" s="43"/>
      <c r="AM121" s="43"/>
      <c r="AN121" s="43"/>
      <c r="AO121" s="43"/>
      <c r="AP121" s="43"/>
      <c r="AQ121" s="44"/>
      <c r="AR121" s="44" t="str">
        <f t="shared" si="6"/>
        <v/>
      </c>
    </row>
    <row r="122" spans="1:44" ht="12.75">
      <c r="A122" s="141"/>
      <c r="B122" s="142"/>
      <c r="C122" s="143"/>
      <c r="I122" s="142"/>
      <c r="K122"/>
      <c r="L122"/>
      <c r="M122"/>
      <c r="N122"/>
      <c r="O122"/>
      <c r="R122" s="82"/>
      <c r="S122" s="141"/>
      <c r="T122" s="141"/>
      <c r="U122" s="141"/>
      <c r="V122" s="141"/>
      <c r="W122" s="141"/>
      <c r="X122" s="141"/>
      <c r="Y122" s="41"/>
      <c r="Z122" s="41"/>
      <c r="AA122" s="40"/>
      <c r="AB122"/>
      <c r="AC122"/>
      <c r="AD122"/>
      <c r="AE122"/>
      <c r="AF122"/>
      <c r="AG122"/>
      <c r="AH122" s="41"/>
      <c r="AI122" s="41"/>
      <c r="AJ122" s="42"/>
      <c r="AK122" s="43"/>
      <c r="AL122" s="43"/>
      <c r="AM122" s="43"/>
      <c r="AN122" s="43"/>
      <c r="AO122" s="43"/>
      <c r="AP122" s="43"/>
      <c r="AQ122" s="44"/>
      <c r="AR122" s="44" t="str">
        <f t="shared" si="6"/>
        <v/>
      </c>
    </row>
    <row r="123" spans="1:44" ht="12.75">
      <c r="A123" s="141"/>
      <c r="B123" s="142"/>
      <c r="C123" s="143"/>
      <c r="I123" s="142"/>
      <c r="K123"/>
      <c r="L123"/>
      <c r="M123"/>
      <c r="N123"/>
      <c r="O123"/>
      <c r="R123" s="82"/>
      <c r="S123" s="141"/>
      <c r="T123" s="141"/>
      <c r="U123" s="141"/>
      <c r="V123" s="141"/>
      <c r="W123" s="141"/>
      <c r="X123" s="141"/>
      <c r="Y123" s="41"/>
      <c r="Z123" s="41"/>
      <c r="AA123" s="40"/>
      <c r="AB123"/>
      <c r="AC123"/>
      <c r="AD123"/>
      <c r="AE123"/>
      <c r="AF123"/>
      <c r="AG123"/>
      <c r="AH123" s="41"/>
      <c r="AI123" s="41"/>
      <c r="AJ123" s="42"/>
      <c r="AK123" s="43"/>
      <c r="AL123" s="43"/>
      <c r="AM123" s="43"/>
      <c r="AN123" s="43"/>
      <c r="AO123" s="43"/>
      <c r="AP123" s="43"/>
      <c r="AQ123" s="44"/>
      <c r="AR123" s="44" t="str">
        <f t="shared" si="6"/>
        <v/>
      </c>
    </row>
    <row r="124" spans="1:44" ht="12.75">
      <c r="A124" s="141"/>
      <c r="B124" s="142"/>
      <c r="C124" s="143"/>
      <c r="I124" s="142"/>
      <c r="K124"/>
      <c r="L124"/>
      <c r="M124"/>
      <c r="N124"/>
      <c r="O124"/>
      <c r="R124" s="82"/>
      <c r="S124" s="141"/>
      <c r="T124" s="141"/>
      <c r="U124" s="141"/>
      <c r="V124" s="141"/>
      <c r="W124" s="141"/>
      <c r="X124" s="141"/>
      <c r="Y124" s="41"/>
      <c r="Z124" s="41"/>
      <c r="AA124" s="40"/>
      <c r="AB124"/>
      <c r="AC124"/>
      <c r="AD124"/>
      <c r="AE124"/>
      <c r="AF124"/>
      <c r="AG124"/>
      <c r="AH124" s="41"/>
      <c r="AI124" s="41"/>
      <c r="AJ124" s="42"/>
      <c r="AK124" s="43"/>
      <c r="AL124" s="43"/>
      <c r="AM124" s="43"/>
      <c r="AN124" s="43"/>
      <c r="AO124" s="43"/>
      <c r="AP124" s="43"/>
      <c r="AQ124" s="44"/>
      <c r="AR124" s="44" t="str">
        <f t="shared" si="6"/>
        <v/>
      </c>
    </row>
    <row r="125" spans="1:44" ht="12.75">
      <c r="A125" s="141"/>
      <c r="B125" s="142"/>
      <c r="C125" s="143"/>
      <c r="I125" s="142"/>
      <c r="K125"/>
      <c r="L125"/>
      <c r="M125"/>
      <c r="N125"/>
      <c r="O125"/>
      <c r="R125" s="82"/>
      <c r="S125" s="141"/>
      <c r="T125" s="141"/>
      <c r="U125" s="141"/>
      <c r="V125" s="141"/>
      <c r="W125" s="141"/>
      <c r="X125" s="141"/>
      <c r="Y125" s="41"/>
      <c r="Z125" s="41"/>
      <c r="AA125" s="40"/>
      <c r="AB125"/>
      <c r="AC125"/>
      <c r="AD125"/>
      <c r="AE125"/>
      <c r="AF125"/>
      <c r="AG125"/>
      <c r="AH125" s="41"/>
      <c r="AI125" s="41"/>
      <c r="AJ125" s="42"/>
      <c r="AK125" s="43"/>
      <c r="AL125" s="43"/>
      <c r="AM125" s="43"/>
      <c r="AN125" s="43"/>
      <c r="AO125" s="43"/>
      <c r="AP125" s="43"/>
      <c r="AQ125" s="44"/>
      <c r="AR125" s="44" t="str">
        <f t="shared" si="6"/>
        <v/>
      </c>
    </row>
    <row r="126" spans="1:44" ht="12.75">
      <c r="A126" s="141"/>
      <c r="B126" s="142"/>
      <c r="C126" s="143"/>
      <c r="I126" s="142"/>
      <c r="K126"/>
      <c r="L126"/>
      <c r="M126"/>
      <c r="N126"/>
      <c r="O126"/>
      <c r="R126" s="82"/>
      <c r="S126" s="141"/>
      <c r="T126" s="141"/>
      <c r="U126" s="141"/>
      <c r="V126" s="141"/>
      <c r="W126" s="141"/>
      <c r="X126" s="141"/>
      <c r="Y126" s="41"/>
      <c r="Z126" s="41"/>
      <c r="AA126" s="40"/>
      <c r="AB126"/>
      <c r="AC126"/>
      <c r="AD126"/>
      <c r="AE126"/>
      <c r="AF126"/>
      <c r="AG126"/>
      <c r="AH126" s="41"/>
      <c r="AI126" s="41"/>
      <c r="AJ126" s="42"/>
      <c r="AK126" s="43"/>
      <c r="AL126" s="43"/>
      <c r="AM126" s="43"/>
      <c r="AN126" s="43"/>
      <c r="AO126" s="43"/>
      <c r="AP126" s="43"/>
      <c r="AQ126" s="44"/>
      <c r="AR126" s="44" t="str">
        <f t="shared" si="6"/>
        <v/>
      </c>
    </row>
    <row r="127" spans="1:44" ht="12.75">
      <c r="A127" s="141"/>
      <c r="B127" s="142"/>
      <c r="C127" s="143"/>
      <c r="I127" s="142"/>
      <c r="K127"/>
      <c r="L127"/>
      <c r="M127"/>
      <c r="N127"/>
      <c r="O127"/>
      <c r="R127" s="82"/>
      <c r="S127" s="141"/>
      <c r="T127" s="141"/>
      <c r="U127" s="141"/>
      <c r="V127" s="141"/>
      <c r="W127" s="141"/>
      <c r="X127" s="141"/>
      <c r="Y127" s="41"/>
      <c r="Z127" s="41"/>
      <c r="AA127" s="40"/>
      <c r="AB127"/>
      <c r="AC127"/>
      <c r="AD127"/>
      <c r="AE127"/>
      <c r="AF127"/>
      <c r="AG127"/>
      <c r="AH127" s="41"/>
      <c r="AI127" s="41"/>
      <c r="AJ127" s="42"/>
      <c r="AK127" s="43"/>
      <c r="AL127" s="43"/>
      <c r="AM127" s="43"/>
      <c r="AN127" s="43"/>
      <c r="AO127" s="43"/>
      <c r="AP127" s="43"/>
      <c r="AQ127" s="44"/>
      <c r="AR127" s="44" t="str">
        <f t="shared" si="6"/>
        <v/>
      </c>
    </row>
    <row r="128" spans="1:44" ht="12.75">
      <c r="A128" s="141"/>
      <c r="B128" s="142"/>
      <c r="C128" s="143"/>
      <c r="I128" s="142"/>
      <c r="K128"/>
      <c r="L128"/>
      <c r="M128"/>
      <c r="N128"/>
      <c r="O128"/>
      <c r="R128" s="82"/>
      <c r="S128" s="141"/>
      <c r="T128" s="141"/>
      <c r="U128" s="141"/>
      <c r="V128" s="141"/>
      <c r="W128" s="141"/>
      <c r="X128" s="141"/>
      <c r="Y128" s="41"/>
      <c r="Z128" s="41"/>
      <c r="AA128" s="40"/>
      <c r="AB128"/>
      <c r="AC128"/>
      <c r="AD128"/>
      <c r="AE128"/>
      <c r="AF128"/>
      <c r="AG128"/>
      <c r="AH128" s="41"/>
      <c r="AI128" s="41"/>
      <c r="AJ128" s="42"/>
      <c r="AK128" s="43"/>
      <c r="AL128" s="43"/>
      <c r="AM128" s="43"/>
      <c r="AN128" s="43"/>
      <c r="AO128" s="43"/>
      <c r="AP128" s="43"/>
      <c r="AQ128" s="44"/>
      <c r="AR128" s="44" t="str">
        <f t="shared" si="6"/>
        <v/>
      </c>
    </row>
    <row r="129" spans="1:44" ht="12.75">
      <c r="A129" s="141"/>
      <c r="B129" s="142"/>
      <c r="C129" s="143"/>
      <c r="I129" s="142"/>
      <c r="K129"/>
      <c r="L129"/>
      <c r="M129"/>
      <c r="N129"/>
      <c r="O129"/>
      <c r="R129" s="82"/>
      <c r="S129" s="141"/>
      <c r="T129" s="141"/>
      <c r="U129" s="141"/>
      <c r="V129" s="141"/>
      <c r="W129" s="141"/>
      <c r="X129" s="141"/>
      <c r="Y129" s="41"/>
      <c r="Z129" s="41"/>
      <c r="AA129" s="40"/>
      <c r="AB129"/>
      <c r="AC129"/>
      <c r="AD129"/>
      <c r="AE129"/>
      <c r="AF129"/>
      <c r="AG129"/>
      <c r="AH129" s="41"/>
      <c r="AI129" s="41"/>
      <c r="AJ129" s="42"/>
      <c r="AK129" s="43"/>
      <c r="AL129" s="43"/>
      <c r="AM129" s="43"/>
      <c r="AN129" s="43"/>
      <c r="AO129" s="43"/>
      <c r="AP129" s="43"/>
      <c r="AQ129" s="44"/>
      <c r="AR129" s="44" t="str">
        <f t="shared" si="6"/>
        <v/>
      </c>
    </row>
    <row r="130" spans="1:44" ht="12.75">
      <c r="A130" s="141"/>
      <c r="B130" s="142"/>
      <c r="C130" s="143"/>
      <c r="I130" s="142"/>
      <c r="K130"/>
      <c r="L130"/>
      <c r="M130"/>
      <c r="N130"/>
      <c r="O130"/>
      <c r="R130" s="82"/>
      <c r="S130" s="141"/>
      <c r="T130" s="141"/>
      <c r="U130" s="141"/>
      <c r="V130" s="141"/>
      <c r="W130" s="141"/>
      <c r="X130" s="141"/>
      <c r="Y130" s="41"/>
      <c r="Z130" s="41"/>
      <c r="AA130" s="40"/>
      <c r="AB130"/>
      <c r="AC130"/>
      <c r="AD130"/>
      <c r="AE130"/>
      <c r="AF130"/>
      <c r="AG130"/>
      <c r="AH130" s="41"/>
      <c r="AI130" s="41"/>
      <c r="AJ130" s="42"/>
      <c r="AK130" s="43"/>
      <c r="AL130" s="43"/>
      <c r="AM130" s="43"/>
      <c r="AN130" s="43"/>
      <c r="AO130" s="43"/>
      <c r="AP130" s="43"/>
      <c r="AQ130" s="44"/>
      <c r="AR130" s="44" t="str">
        <f t="shared" si="6"/>
        <v/>
      </c>
    </row>
    <row r="131" spans="1:44" ht="12.75">
      <c r="A131" s="141"/>
      <c r="B131" s="142"/>
      <c r="C131" s="143"/>
      <c r="I131" s="142"/>
      <c r="K131"/>
      <c r="L131"/>
      <c r="M131"/>
      <c r="N131"/>
      <c r="O131"/>
      <c r="R131" s="82"/>
      <c r="S131" s="141"/>
      <c r="T131" s="141"/>
      <c r="U131" s="141"/>
      <c r="V131" s="141"/>
      <c r="W131" s="141"/>
      <c r="X131" s="141"/>
      <c r="Y131" s="41"/>
      <c r="Z131" s="41"/>
      <c r="AA131" s="40"/>
      <c r="AB131"/>
      <c r="AC131"/>
      <c r="AD131"/>
      <c r="AE131"/>
      <c r="AF131"/>
      <c r="AG131"/>
      <c r="AH131" s="41"/>
      <c r="AI131" s="41"/>
      <c r="AJ131" s="42"/>
      <c r="AK131" s="43"/>
      <c r="AL131" s="43"/>
      <c r="AM131" s="43"/>
      <c r="AN131" s="43"/>
      <c r="AO131" s="43"/>
      <c r="AP131" s="43"/>
      <c r="AQ131" s="44"/>
      <c r="AR131" s="44" t="str">
        <f t="shared" si="6"/>
        <v/>
      </c>
    </row>
    <row r="132" spans="1:44" ht="12.75">
      <c r="A132" s="141"/>
      <c r="B132" s="142"/>
      <c r="C132" s="143"/>
      <c r="I132" s="142"/>
      <c r="K132"/>
      <c r="L132"/>
      <c r="M132"/>
      <c r="N132"/>
      <c r="O132"/>
      <c r="R132" s="82"/>
      <c r="S132" s="141"/>
      <c r="T132" s="141"/>
      <c r="U132" s="141"/>
      <c r="V132" s="141"/>
      <c r="W132" s="141"/>
      <c r="X132" s="141"/>
      <c r="Y132" s="41"/>
      <c r="Z132" s="41"/>
      <c r="AA132" s="40"/>
      <c r="AB132"/>
      <c r="AC132"/>
      <c r="AD132"/>
      <c r="AE132"/>
      <c r="AF132"/>
      <c r="AG132"/>
      <c r="AH132" s="41"/>
      <c r="AI132" s="41"/>
      <c r="AJ132" s="42"/>
      <c r="AK132" s="43"/>
      <c r="AL132" s="43"/>
      <c r="AM132" s="43"/>
      <c r="AN132" s="43"/>
      <c r="AO132" s="43"/>
      <c r="AP132" s="43"/>
      <c r="AQ132" s="44"/>
      <c r="AR132" s="44" t="str">
        <f t="shared" si="6"/>
        <v/>
      </c>
    </row>
    <row r="133" spans="1:44" ht="12.75">
      <c r="A133" s="141"/>
      <c r="B133" s="142"/>
      <c r="C133" s="143"/>
      <c r="I133" s="142"/>
      <c r="K133"/>
      <c r="L133"/>
      <c r="M133"/>
      <c r="N133"/>
      <c r="O133"/>
      <c r="R133" s="82"/>
      <c r="S133" s="141"/>
      <c r="T133" s="141"/>
      <c r="U133" s="141"/>
      <c r="V133" s="141"/>
      <c r="W133" s="141"/>
      <c r="X133" s="141"/>
      <c r="Y133" s="41"/>
      <c r="Z133" s="41"/>
      <c r="AA133" s="40"/>
      <c r="AB133"/>
      <c r="AC133"/>
      <c r="AD133"/>
      <c r="AE133"/>
      <c r="AF133"/>
      <c r="AG133"/>
      <c r="AH133" s="41"/>
      <c r="AI133" s="41"/>
      <c r="AJ133" s="42"/>
      <c r="AK133" s="43"/>
      <c r="AL133" s="43"/>
      <c r="AM133" s="43"/>
      <c r="AN133" s="43"/>
      <c r="AO133" s="43"/>
      <c r="AP133" s="43"/>
      <c r="AQ133" s="44"/>
      <c r="AR133" s="44" t="str">
        <f t="shared" si="6"/>
        <v/>
      </c>
    </row>
    <row r="134" spans="1:44" ht="12.75">
      <c r="A134" s="141"/>
      <c r="B134" s="142"/>
      <c r="C134" s="143"/>
      <c r="I134" s="142"/>
      <c r="K134"/>
      <c r="L134"/>
      <c r="M134"/>
      <c r="N134"/>
      <c r="O134"/>
      <c r="R134" s="82"/>
      <c r="S134" s="141"/>
      <c r="T134" s="141"/>
      <c r="U134" s="141"/>
      <c r="V134" s="141"/>
      <c r="W134" s="141"/>
      <c r="X134" s="141"/>
      <c r="Y134" s="41"/>
      <c r="Z134" s="41"/>
      <c r="AA134" s="40"/>
      <c r="AB134"/>
      <c r="AC134"/>
      <c r="AD134"/>
      <c r="AE134"/>
      <c r="AF134"/>
      <c r="AG134"/>
      <c r="AH134" s="41"/>
      <c r="AI134" s="41"/>
      <c r="AJ134" s="42"/>
      <c r="AK134" s="43"/>
      <c r="AL134" s="43"/>
      <c r="AM134" s="43"/>
      <c r="AN134" s="43"/>
      <c r="AO134" s="43"/>
      <c r="AP134" s="43"/>
      <c r="AQ134" s="44"/>
      <c r="AR134" s="44" t="str">
        <f t="shared" si="6"/>
        <v/>
      </c>
    </row>
    <row r="135" spans="1:44" ht="12.75">
      <c r="A135" s="141"/>
      <c r="B135" s="142"/>
      <c r="C135" s="143"/>
      <c r="I135" s="142"/>
      <c r="K135"/>
      <c r="L135"/>
      <c r="M135"/>
      <c r="N135"/>
      <c r="O135"/>
      <c r="R135" s="82"/>
      <c r="S135" s="141"/>
      <c r="T135" s="141"/>
      <c r="U135" s="141"/>
      <c r="V135" s="141"/>
      <c r="W135" s="141"/>
      <c r="X135" s="141"/>
      <c r="Y135" s="41"/>
      <c r="Z135" s="41"/>
      <c r="AA135" s="40"/>
      <c r="AB135"/>
      <c r="AC135"/>
      <c r="AD135"/>
      <c r="AE135"/>
      <c r="AF135"/>
      <c r="AG135"/>
      <c r="AH135" s="41"/>
      <c r="AI135" s="41"/>
      <c r="AJ135" s="42"/>
      <c r="AK135" s="43"/>
      <c r="AL135" s="43"/>
      <c r="AM135" s="43"/>
      <c r="AN135" s="43"/>
      <c r="AO135" s="43"/>
      <c r="AP135" s="43"/>
      <c r="AQ135" s="44"/>
      <c r="AR135" s="44" t="str">
        <f>IF(Z135&lt;&gt;"",(AI135-Z135)/Z135,"")</f>
        <v/>
      </c>
    </row>
    <row r="136" spans="1:44" ht="12.75">
      <c r="A136" s="141"/>
      <c r="B136" s="142"/>
      <c r="C136" s="143"/>
      <c r="I136" s="142"/>
      <c r="K136"/>
      <c r="L136"/>
      <c r="M136"/>
      <c r="N136"/>
      <c r="O136"/>
      <c r="R136" s="82"/>
      <c r="S136" s="141"/>
      <c r="T136" s="141"/>
      <c r="U136" s="141"/>
      <c r="V136" s="141"/>
      <c r="W136" s="141"/>
      <c r="X136" s="141"/>
      <c r="Y136" s="41"/>
      <c r="Z136" s="41"/>
      <c r="AA136" s="40"/>
      <c r="AB136"/>
      <c r="AC136"/>
      <c r="AD136"/>
      <c r="AE136"/>
      <c r="AF136"/>
      <c r="AG136"/>
      <c r="AH136" s="41"/>
      <c r="AI136" s="41"/>
      <c r="AJ136" s="42"/>
      <c r="AK136" s="43"/>
      <c r="AL136" s="43"/>
      <c r="AM136" s="43"/>
      <c r="AN136" s="43"/>
      <c r="AO136" s="43"/>
      <c r="AP136" s="43"/>
      <c r="AQ136" s="44"/>
      <c r="AR136" s="44" t="str">
        <f>IF(Z136&lt;&gt;"",(AI136-Z136)/Z136,"")</f>
        <v/>
      </c>
    </row>
    <row r="137" spans="1:44" ht="12.75">
      <c r="A137" s="141"/>
      <c r="B137" s="142"/>
      <c r="C137" s="143"/>
      <c r="I137" s="142"/>
      <c r="K137"/>
      <c r="L137"/>
      <c r="M137"/>
      <c r="N137"/>
      <c r="O137"/>
      <c r="R137" s="82"/>
      <c r="S137" s="141"/>
      <c r="T137" s="141"/>
      <c r="U137" s="141"/>
      <c r="V137" s="141"/>
      <c r="W137" s="141"/>
      <c r="X137" s="141"/>
      <c r="Y137" s="41"/>
      <c r="Z137" s="41"/>
      <c r="AA137" s="40"/>
      <c r="AB137"/>
      <c r="AC137"/>
      <c r="AD137"/>
      <c r="AE137"/>
      <c r="AF137"/>
      <c r="AG137"/>
      <c r="AH137" s="41"/>
      <c r="AI137" s="41"/>
      <c r="AJ137" s="42"/>
      <c r="AK137" s="43"/>
      <c r="AL137" s="43"/>
      <c r="AM137" s="43"/>
      <c r="AN137" s="43"/>
      <c r="AO137" s="43"/>
      <c r="AP137" s="43"/>
      <c r="AQ137" s="44"/>
      <c r="AR137" s="44" t="str">
        <f>IF(Z137&lt;&gt;"",(AI137-Z137)/Z137,"")</f>
        <v/>
      </c>
    </row>
    <row r="138" spans="1:44" ht="12.75">
      <c r="A138" s="141"/>
      <c r="B138" s="142"/>
      <c r="C138" s="143"/>
      <c r="I138" s="142"/>
      <c r="K138"/>
      <c r="L138"/>
      <c r="M138"/>
      <c r="N138"/>
      <c r="O138"/>
      <c r="R138" s="82"/>
      <c r="S138" s="141"/>
      <c r="T138" s="141"/>
      <c r="U138" s="141"/>
      <c r="V138" s="141"/>
      <c r="W138" s="141"/>
      <c r="X138" s="141"/>
      <c r="Y138" s="41"/>
      <c r="Z138" s="41"/>
      <c r="AA138" s="40"/>
      <c r="AB138"/>
      <c r="AC138"/>
      <c r="AD138"/>
      <c r="AE138"/>
      <c r="AF138"/>
      <c r="AG138"/>
      <c r="AH138" s="41"/>
      <c r="AI138" s="41"/>
      <c r="AJ138" s="42"/>
      <c r="AK138" s="43"/>
      <c r="AL138" s="43"/>
      <c r="AM138" s="43"/>
      <c r="AN138" s="43"/>
      <c r="AO138" s="43"/>
      <c r="AP138" s="43"/>
      <c r="AQ138" s="44"/>
      <c r="AR138" s="44" t="str">
        <f>IF(Z138&lt;&gt;"",(AI138-Z138)/Z138,"")</f>
        <v/>
      </c>
    </row>
    <row r="139" spans="1:44" ht="12.75">
      <c r="A139" s="141"/>
      <c r="B139" s="142"/>
      <c r="C139" s="143"/>
      <c r="I139" s="142"/>
      <c r="K139"/>
      <c r="L139"/>
      <c r="M139"/>
      <c r="N139"/>
      <c r="O139"/>
      <c r="R139" s="82"/>
      <c r="S139" s="141"/>
      <c r="T139" s="141"/>
      <c r="U139" s="141"/>
      <c r="V139" s="141"/>
      <c r="W139" s="141"/>
      <c r="X139" s="141"/>
      <c r="Y139" s="41"/>
      <c r="Z139" s="41"/>
      <c r="AA139" s="40"/>
      <c r="AB139"/>
      <c r="AC139"/>
      <c r="AD139"/>
      <c r="AE139"/>
      <c r="AF139"/>
      <c r="AG139"/>
      <c r="AH139" s="41"/>
      <c r="AI139" s="41"/>
      <c r="AJ139" s="42"/>
      <c r="AK139" s="43"/>
      <c r="AL139" s="43"/>
      <c r="AM139" s="43"/>
      <c r="AN139" s="43"/>
      <c r="AO139" s="43"/>
      <c r="AP139" s="43"/>
      <c r="AQ139" s="44"/>
    </row>
    <row r="140" spans="1:44" ht="12.75">
      <c r="A140" s="141"/>
      <c r="B140" s="142"/>
      <c r="C140" s="143"/>
      <c r="I140" s="142"/>
      <c r="K140"/>
      <c r="L140"/>
      <c r="M140"/>
      <c r="N140"/>
      <c r="O140"/>
      <c r="R140" s="82"/>
      <c r="S140" s="141"/>
      <c r="T140" s="141"/>
      <c r="U140" s="141"/>
      <c r="V140" s="141"/>
      <c r="W140" s="141"/>
      <c r="X140" s="141"/>
      <c r="Y140" s="41"/>
      <c r="Z140" s="41"/>
      <c r="AA140" s="40"/>
      <c r="AB140"/>
      <c r="AC140"/>
      <c r="AD140"/>
      <c r="AE140"/>
      <c r="AF140"/>
      <c r="AG140"/>
      <c r="AH140" s="41"/>
      <c r="AI140" s="41"/>
      <c r="AJ140" s="42"/>
      <c r="AK140" s="43"/>
      <c r="AL140" s="43"/>
      <c r="AM140" s="43"/>
      <c r="AN140" s="43"/>
      <c r="AO140" s="43"/>
      <c r="AP140" s="43"/>
      <c r="AQ140" s="44"/>
    </row>
    <row r="141" spans="1:44" ht="12.75">
      <c r="A141" s="141"/>
      <c r="B141" s="142"/>
      <c r="C141" s="143"/>
      <c r="I141" s="142"/>
      <c r="K141"/>
      <c r="L141"/>
      <c r="M141"/>
      <c r="N141"/>
      <c r="O141"/>
      <c r="R141" s="82"/>
      <c r="S141" s="141"/>
      <c r="T141" s="141"/>
      <c r="U141" s="141"/>
      <c r="V141" s="141"/>
      <c r="W141" s="141"/>
      <c r="X141" s="141"/>
      <c r="Y141" s="41"/>
      <c r="Z141" s="41"/>
      <c r="AA141" s="40"/>
      <c r="AB141"/>
      <c r="AC141"/>
      <c r="AD141"/>
      <c r="AE141"/>
      <c r="AF141"/>
      <c r="AG141"/>
      <c r="AH141" s="41"/>
      <c r="AI141" s="41"/>
      <c r="AJ141" s="42"/>
      <c r="AK141" s="43"/>
      <c r="AL141" s="43"/>
      <c r="AM141" s="43"/>
      <c r="AN141" s="43"/>
      <c r="AO141" s="43"/>
      <c r="AP141" s="43"/>
      <c r="AQ141" s="44"/>
    </row>
    <row r="142" spans="1:44" ht="12.75">
      <c r="A142" s="141"/>
      <c r="B142" s="142"/>
      <c r="C142" s="143"/>
      <c r="I142" s="142"/>
      <c r="K142"/>
      <c r="L142"/>
      <c r="M142"/>
      <c r="N142"/>
      <c r="O142"/>
      <c r="R142" s="82"/>
      <c r="S142" s="141"/>
      <c r="T142" s="141"/>
      <c r="U142" s="141"/>
      <c r="V142" s="141"/>
      <c r="W142" s="141"/>
      <c r="X142" s="141"/>
      <c r="Y142" s="41"/>
      <c r="Z142" s="41"/>
      <c r="AA142" s="40"/>
      <c r="AB142"/>
      <c r="AC142"/>
      <c r="AD142"/>
      <c r="AE142"/>
      <c r="AF142"/>
      <c r="AG142"/>
      <c r="AH142" s="41"/>
      <c r="AI142" s="41"/>
      <c r="AJ142" s="42"/>
      <c r="AK142" s="43"/>
      <c r="AL142" s="43"/>
      <c r="AM142" s="43"/>
      <c r="AN142" s="43"/>
      <c r="AO142" s="43"/>
      <c r="AP142" s="43"/>
      <c r="AQ142" s="44"/>
    </row>
    <row r="143" spans="1:44" ht="12.75">
      <c r="A143" s="141"/>
      <c r="B143" s="142"/>
      <c r="C143" s="143"/>
      <c r="I143" s="142"/>
      <c r="K143"/>
      <c r="L143"/>
      <c r="M143"/>
      <c r="N143"/>
      <c r="O143"/>
      <c r="R143" s="82"/>
      <c r="S143" s="141"/>
      <c r="T143" s="141"/>
      <c r="U143" s="141"/>
      <c r="V143" s="141"/>
      <c r="W143" s="141"/>
      <c r="X143" s="141"/>
      <c r="Y143" s="41"/>
      <c r="Z143" s="41"/>
      <c r="AA143" s="40"/>
      <c r="AB143"/>
      <c r="AC143"/>
      <c r="AD143"/>
      <c r="AE143"/>
      <c r="AF143"/>
      <c r="AG143"/>
      <c r="AH143" s="41"/>
      <c r="AI143" s="41"/>
      <c r="AJ143" s="42"/>
      <c r="AK143" s="43"/>
      <c r="AL143" s="43"/>
      <c r="AM143" s="43"/>
      <c r="AN143" s="43"/>
      <c r="AO143" s="43"/>
      <c r="AP143" s="43"/>
      <c r="AQ143" s="44"/>
    </row>
    <row r="144" spans="1:44" ht="12.75">
      <c r="A144" s="141"/>
      <c r="B144" s="142"/>
      <c r="C144" s="143"/>
      <c r="I144" s="142"/>
      <c r="K144"/>
      <c r="L144"/>
      <c r="M144"/>
      <c r="N144"/>
      <c r="O144"/>
      <c r="R144" s="82"/>
      <c r="S144" s="141"/>
      <c r="T144" s="141"/>
      <c r="U144" s="141"/>
      <c r="V144" s="141"/>
      <c r="W144" s="141"/>
      <c r="X144" s="141"/>
      <c r="Y144" s="41"/>
      <c r="Z144" s="41"/>
      <c r="AA144" s="40"/>
      <c r="AB144"/>
      <c r="AC144"/>
      <c r="AD144"/>
      <c r="AE144"/>
      <c r="AF144"/>
      <c r="AG144"/>
      <c r="AH144" s="41"/>
      <c r="AI144" s="41"/>
      <c r="AJ144" s="42"/>
      <c r="AK144" s="43"/>
      <c r="AL144" s="43"/>
      <c r="AM144" s="43"/>
      <c r="AN144" s="43"/>
      <c r="AO144" s="43"/>
      <c r="AP144" s="43"/>
      <c r="AQ144" s="44"/>
    </row>
    <row r="145" spans="1:43" ht="12.75">
      <c r="A145" s="141"/>
      <c r="B145" s="142"/>
      <c r="C145" s="143"/>
      <c r="I145" s="142"/>
      <c r="K145"/>
      <c r="L145"/>
      <c r="M145"/>
      <c r="N145"/>
      <c r="O145"/>
      <c r="R145" s="82"/>
      <c r="S145" s="141"/>
      <c r="T145" s="141"/>
      <c r="U145" s="141"/>
      <c r="V145" s="141"/>
      <c r="W145" s="141"/>
      <c r="X145" s="141"/>
      <c r="Y145" s="41"/>
      <c r="Z145" s="41"/>
      <c r="AA145" s="40"/>
      <c r="AB145"/>
      <c r="AC145"/>
      <c r="AD145"/>
      <c r="AE145"/>
      <c r="AF145"/>
      <c r="AG145"/>
      <c r="AH145" s="41"/>
      <c r="AI145" s="41"/>
      <c r="AJ145" s="42"/>
      <c r="AK145" s="43"/>
      <c r="AL145" s="43"/>
      <c r="AM145" s="43"/>
      <c r="AN145" s="43"/>
      <c r="AO145" s="43"/>
      <c r="AP145" s="43"/>
      <c r="AQ145" s="44"/>
    </row>
    <row r="146" spans="1:43" ht="12.75">
      <c r="A146" s="141"/>
      <c r="B146" s="142"/>
      <c r="C146" s="143"/>
      <c r="I146" s="142"/>
      <c r="K146"/>
      <c r="L146"/>
      <c r="M146"/>
      <c r="N146"/>
      <c r="O146"/>
      <c r="R146" s="82"/>
      <c r="S146" s="141"/>
      <c r="T146" s="141"/>
      <c r="U146" s="141"/>
      <c r="V146" s="141"/>
      <c r="W146" s="141"/>
      <c r="X146" s="141"/>
      <c r="Y146" s="41"/>
      <c r="Z146" s="41"/>
      <c r="AA146" s="40"/>
      <c r="AB146"/>
      <c r="AC146"/>
      <c r="AD146"/>
      <c r="AE146"/>
      <c r="AF146"/>
      <c r="AG146"/>
      <c r="AH146" s="41"/>
      <c r="AI146" s="41"/>
      <c r="AJ146" s="42"/>
      <c r="AK146" s="43"/>
      <c r="AL146" s="43"/>
      <c r="AM146" s="43"/>
      <c r="AN146" s="43"/>
      <c r="AO146" s="43"/>
      <c r="AP146" s="43"/>
      <c r="AQ146" s="44"/>
    </row>
    <row r="147" spans="1:43" ht="12.75">
      <c r="A147" s="141"/>
      <c r="B147" s="142"/>
      <c r="C147" s="143"/>
      <c r="I147" s="142"/>
      <c r="K147"/>
      <c r="L147"/>
      <c r="M147"/>
      <c r="N147"/>
      <c r="O147"/>
      <c r="R147" s="82"/>
      <c r="S147" s="141"/>
      <c r="T147" s="141"/>
      <c r="U147" s="141"/>
      <c r="V147" s="141"/>
      <c r="W147" s="141"/>
      <c r="X147" s="141"/>
      <c r="Y147" s="41"/>
      <c r="Z147" s="41"/>
      <c r="AA147" s="40"/>
      <c r="AB147"/>
      <c r="AC147"/>
      <c r="AD147"/>
      <c r="AE147"/>
      <c r="AF147"/>
      <c r="AG147"/>
      <c r="AH147" s="41"/>
      <c r="AI147" s="41"/>
      <c r="AJ147" s="42"/>
      <c r="AK147" s="43"/>
      <c r="AL147" s="43"/>
      <c r="AM147" s="43"/>
      <c r="AN147" s="43"/>
      <c r="AO147" s="43"/>
      <c r="AP147" s="43"/>
      <c r="AQ147" s="44"/>
    </row>
    <row r="148" spans="1:43" ht="12.75">
      <c r="A148" s="141"/>
      <c r="B148" s="142"/>
      <c r="C148" s="143"/>
      <c r="I148" s="142"/>
      <c r="K148"/>
      <c r="L148"/>
      <c r="M148"/>
      <c r="N148"/>
      <c r="O148"/>
      <c r="R148" s="82"/>
      <c r="S148" s="141"/>
      <c r="T148" s="141"/>
      <c r="U148" s="141"/>
      <c r="V148" s="141"/>
      <c r="W148" s="141"/>
      <c r="X148" s="141"/>
      <c r="Y148" s="41"/>
      <c r="Z148" s="41"/>
      <c r="AA148" s="40"/>
      <c r="AB148"/>
      <c r="AC148"/>
      <c r="AD148"/>
      <c r="AE148"/>
      <c r="AF148"/>
      <c r="AG148"/>
      <c r="AH148" s="41"/>
      <c r="AI148" s="41"/>
      <c r="AJ148" s="42"/>
      <c r="AK148" s="43"/>
      <c r="AL148" s="43"/>
      <c r="AM148" s="43"/>
      <c r="AN148" s="43"/>
      <c r="AO148" s="43"/>
      <c r="AP148" s="43"/>
      <c r="AQ148" s="44"/>
    </row>
    <row r="149" spans="1:43" ht="12.75">
      <c r="A149" s="141"/>
      <c r="B149" s="142"/>
      <c r="C149" s="143"/>
      <c r="I149" s="142"/>
      <c r="K149"/>
      <c r="L149"/>
      <c r="M149"/>
      <c r="N149"/>
      <c r="O149"/>
      <c r="R149" s="82"/>
      <c r="S149" s="141"/>
      <c r="T149" s="141"/>
      <c r="U149" s="141"/>
      <c r="V149" s="141"/>
      <c r="W149" s="141"/>
      <c r="X149" s="141"/>
      <c r="Y149" s="41"/>
      <c r="Z149" s="41"/>
      <c r="AA149" s="40"/>
      <c r="AB149"/>
      <c r="AC149"/>
      <c r="AD149"/>
      <c r="AE149"/>
      <c r="AF149"/>
      <c r="AG149"/>
      <c r="AH149" s="41"/>
      <c r="AI149" s="41"/>
      <c r="AJ149" s="42"/>
      <c r="AK149" s="43"/>
      <c r="AL149" s="43"/>
      <c r="AM149" s="43"/>
      <c r="AN149" s="43"/>
      <c r="AO149" s="43"/>
      <c r="AP149" s="43"/>
      <c r="AQ149" s="44"/>
    </row>
    <row r="150" spans="1:43" ht="12.75">
      <c r="A150" s="141"/>
      <c r="B150" s="142"/>
      <c r="C150" s="143"/>
      <c r="I150" s="142"/>
      <c r="K150"/>
      <c r="L150"/>
      <c r="M150"/>
      <c r="N150"/>
      <c r="O150"/>
      <c r="R150" s="82"/>
      <c r="S150" s="141"/>
      <c r="T150" s="141"/>
      <c r="U150" s="141"/>
      <c r="V150" s="141"/>
      <c r="W150" s="141"/>
      <c r="X150" s="141"/>
      <c r="Y150" s="41"/>
      <c r="Z150" s="41"/>
      <c r="AA150" s="40"/>
      <c r="AB150"/>
      <c r="AC150"/>
      <c r="AD150"/>
      <c r="AE150"/>
      <c r="AF150"/>
      <c r="AG150"/>
      <c r="AH150" s="41"/>
      <c r="AI150" s="41"/>
      <c r="AJ150" s="42"/>
      <c r="AK150" s="43"/>
      <c r="AL150" s="43"/>
      <c r="AM150" s="43"/>
      <c r="AN150" s="43"/>
      <c r="AO150" s="43"/>
      <c r="AP150" s="43"/>
      <c r="AQ150" s="44"/>
    </row>
    <row r="151" spans="1:43" ht="12.75">
      <c r="A151" s="141"/>
      <c r="B151" s="142"/>
      <c r="C151" s="143"/>
      <c r="I151" s="142"/>
      <c r="K151"/>
      <c r="L151"/>
      <c r="M151"/>
      <c r="N151"/>
      <c r="O151"/>
      <c r="R151" s="82"/>
      <c r="S151" s="141"/>
      <c r="T151" s="141"/>
      <c r="U151" s="141"/>
      <c r="V151" s="141"/>
      <c r="W151" s="141"/>
      <c r="X151" s="141"/>
      <c r="Y151" s="41"/>
      <c r="Z151" s="41"/>
      <c r="AA151" s="40"/>
      <c r="AB151"/>
      <c r="AC151"/>
      <c r="AD151"/>
      <c r="AE151"/>
      <c r="AF151"/>
      <c r="AG151"/>
      <c r="AH151" s="41"/>
      <c r="AI151" s="41"/>
      <c r="AJ151" s="42"/>
      <c r="AK151" s="43"/>
      <c r="AL151" s="43"/>
      <c r="AM151" s="43"/>
      <c r="AN151" s="43"/>
      <c r="AO151" s="43"/>
      <c r="AP151" s="43"/>
      <c r="AQ151" s="44"/>
    </row>
    <row r="152" spans="1:43" ht="12.75">
      <c r="A152" s="141"/>
      <c r="B152" s="142"/>
      <c r="C152" s="143"/>
      <c r="I152" s="142"/>
      <c r="K152"/>
      <c r="L152"/>
      <c r="M152"/>
      <c r="N152"/>
      <c r="O152"/>
      <c r="R152" s="82"/>
      <c r="S152" s="141"/>
      <c r="T152" s="141"/>
      <c r="U152" s="141"/>
      <c r="V152" s="141"/>
      <c r="W152" s="141"/>
      <c r="X152" s="141"/>
      <c r="Y152" s="41"/>
      <c r="Z152" s="41"/>
      <c r="AA152" s="40"/>
      <c r="AB152"/>
      <c r="AC152"/>
      <c r="AD152"/>
      <c r="AE152"/>
      <c r="AF152"/>
      <c r="AG152"/>
      <c r="AH152" s="41"/>
      <c r="AI152" s="41"/>
      <c r="AJ152" s="42"/>
      <c r="AK152" s="43"/>
      <c r="AL152" s="43"/>
      <c r="AM152" s="43"/>
      <c r="AN152" s="43"/>
      <c r="AO152" s="43"/>
      <c r="AP152" s="43"/>
      <c r="AQ152" s="44"/>
    </row>
    <row r="153" spans="1:43" ht="12.75">
      <c r="A153" s="141"/>
      <c r="B153" s="142"/>
      <c r="C153" s="143"/>
      <c r="I153" s="142"/>
      <c r="K153"/>
      <c r="L153"/>
      <c r="M153"/>
      <c r="N153"/>
      <c r="O153"/>
      <c r="R153" s="82"/>
      <c r="S153" s="141"/>
      <c r="T153" s="141"/>
      <c r="U153" s="141"/>
      <c r="V153" s="141"/>
      <c r="W153" s="141"/>
      <c r="X153" s="141"/>
      <c r="Y153" s="41"/>
      <c r="Z153" s="41"/>
      <c r="AA153" s="40"/>
      <c r="AB153"/>
      <c r="AC153"/>
      <c r="AD153"/>
      <c r="AE153"/>
      <c r="AF153"/>
      <c r="AG153"/>
      <c r="AH153" s="41"/>
      <c r="AI153" s="41"/>
      <c r="AJ153" s="42"/>
      <c r="AK153" s="43"/>
      <c r="AL153" s="43"/>
      <c r="AM153" s="43"/>
      <c r="AN153" s="43"/>
      <c r="AO153" s="43"/>
      <c r="AP153" s="43"/>
      <c r="AQ153" s="44"/>
    </row>
    <row r="154" spans="1:43" ht="12.75">
      <c r="A154" s="141"/>
      <c r="B154" s="142"/>
      <c r="C154" s="143"/>
      <c r="I154" s="142"/>
      <c r="K154"/>
      <c r="L154"/>
      <c r="M154"/>
      <c r="N154"/>
      <c r="O154"/>
      <c r="R154" s="82"/>
      <c r="S154" s="141"/>
      <c r="T154" s="141"/>
      <c r="U154" s="141"/>
      <c r="V154" s="141"/>
      <c r="W154" s="141"/>
      <c r="X154" s="141"/>
      <c r="Y154" s="41"/>
      <c r="Z154" s="41"/>
      <c r="AA154" s="40"/>
      <c r="AB154"/>
      <c r="AC154"/>
      <c r="AD154"/>
      <c r="AE154"/>
      <c r="AF154"/>
      <c r="AG154"/>
      <c r="AH154" s="41"/>
      <c r="AI154" s="41"/>
      <c r="AJ154" s="42"/>
      <c r="AK154" s="43"/>
      <c r="AL154" s="43"/>
      <c r="AM154" s="43"/>
      <c r="AN154" s="43"/>
      <c r="AO154" s="43"/>
      <c r="AP154" s="43"/>
      <c r="AQ154" s="44"/>
    </row>
    <row r="155" spans="1:43" ht="12.75">
      <c r="A155" s="141"/>
      <c r="B155" s="142"/>
      <c r="C155" s="143"/>
      <c r="I155" s="142"/>
      <c r="K155"/>
      <c r="L155"/>
      <c r="M155"/>
      <c r="N155"/>
      <c r="O155"/>
      <c r="R155" s="82"/>
      <c r="S155" s="141"/>
      <c r="T155" s="141"/>
      <c r="U155" s="141"/>
      <c r="V155" s="141"/>
      <c r="W155" s="141"/>
      <c r="X155" s="141"/>
      <c r="Y155" s="41"/>
      <c r="Z155" s="41"/>
      <c r="AA155" s="40"/>
      <c r="AB155"/>
      <c r="AC155"/>
      <c r="AD155"/>
      <c r="AE155"/>
      <c r="AF155"/>
      <c r="AG155"/>
      <c r="AH155" s="41"/>
      <c r="AI155" s="41"/>
      <c r="AJ155" s="42"/>
      <c r="AK155" s="43"/>
      <c r="AL155" s="43"/>
      <c r="AM155" s="43"/>
      <c r="AN155" s="43"/>
      <c r="AO155" s="43"/>
      <c r="AP155" s="43"/>
      <c r="AQ155" s="44"/>
    </row>
    <row r="156" spans="1:43" ht="12.75">
      <c r="A156" s="141"/>
      <c r="B156" s="142"/>
      <c r="C156" s="143"/>
      <c r="I156" s="142"/>
      <c r="K156"/>
      <c r="L156"/>
      <c r="M156"/>
      <c r="N156"/>
      <c r="O156"/>
      <c r="R156" s="82"/>
      <c r="S156" s="141"/>
      <c r="T156" s="141"/>
      <c r="U156" s="141"/>
      <c r="V156" s="141"/>
      <c r="W156" s="141"/>
      <c r="X156" s="141"/>
      <c r="Y156" s="41"/>
      <c r="Z156" s="41"/>
      <c r="AA156" s="40"/>
      <c r="AB156"/>
      <c r="AC156"/>
      <c r="AD156"/>
      <c r="AE156"/>
      <c r="AF156"/>
      <c r="AG156"/>
      <c r="AH156" s="41"/>
      <c r="AI156" s="41"/>
      <c r="AJ156" s="42"/>
      <c r="AK156" s="43"/>
      <c r="AL156" s="43"/>
      <c r="AM156" s="43"/>
      <c r="AN156" s="43"/>
      <c r="AO156" s="43"/>
      <c r="AP156" s="43"/>
      <c r="AQ156" s="44"/>
    </row>
    <row r="157" spans="1:43" ht="12.75">
      <c r="A157" s="141"/>
      <c r="B157" s="142"/>
      <c r="C157" s="143"/>
      <c r="I157" s="142"/>
      <c r="K157"/>
      <c r="L157"/>
      <c r="M157"/>
      <c r="N157"/>
      <c r="O157"/>
      <c r="R157" s="82"/>
      <c r="S157" s="141"/>
      <c r="T157" s="141"/>
      <c r="U157" s="141"/>
      <c r="V157" s="141"/>
      <c r="W157" s="141"/>
      <c r="X157" s="141"/>
      <c r="Y157" s="41"/>
      <c r="Z157" s="41"/>
      <c r="AA157" s="40"/>
      <c r="AB157"/>
      <c r="AC157"/>
      <c r="AD157"/>
      <c r="AE157"/>
      <c r="AF157"/>
      <c r="AG157"/>
      <c r="AH157" s="41"/>
      <c r="AI157" s="41"/>
      <c r="AJ157" s="42"/>
      <c r="AK157" s="43"/>
      <c r="AL157" s="43"/>
      <c r="AM157" s="43"/>
      <c r="AN157" s="43"/>
      <c r="AO157" s="43"/>
      <c r="AP157" s="43"/>
      <c r="AQ157" s="44"/>
    </row>
    <row r="158" spans="1:43" ht="12.75">
      <c r="A158" s="141"/>
      <c r="B158" s="142"/>
      <c r="C158" s="143"/>
      <c r="I158" s="142"/>
      <c r="K158"/>
      <c r="L158"/>
      <c r="M158"/>
      <c r="N158"/>
      <c r="O158"/>
      <c r="R158" s="82"/>
      <c r="S158" s="141"/>
      <c r="T158" s="141"/>
      <c r="U158" s="141"/>
      <c r="V158" s="141"/>
      <c r="W158" s="141"/>
      <c r="X158" s="141"/>
      <c r="Y158" s="41"/>
      <c r="Z158" s="41"/>
      <c r="AA158" s="40"/>
      <c r="AB158"/>
      <c r="AC158"/>
      <c r="AD158"/>
      <c r="AE158"/>
      <c r="AF158"/>
      <c r="AG158"/>
      <c r="AH158" s="41"/>
      <c r="AI158" s="41"/>
      <c r="AJ158" s="42"/>
      <c r="AK158" s="43"/>
      <c r="AL158" s="43"/>
      <c r="AM158" s="43"/>
      <c r="AN158" s="43"/>
      <c r="AO158" s="43"/>
      <c r="AP158" s="43"/>
      <c r="AQ158" s="44"/>
    </row>
    <row r="159" spans="1:43" ht="12.75">
      <c r="A159" s="141"/>
      <c r="B159" s="142"/>
      <c r="C159" s="143"/>
      <c r="I159" s="142"/>
      <c r="K159"/>
      <c r="L159"/>
      <c r="M159"/>
      <c r="N159"/>
      <c r="O159"/>
      <c r="R159" s="82"/>
      <c r="S159" s="141"/>
      <c r="T159" s="141"/>
      <c r="U159" s="141"/>
      <c r="V159" s="141"/>
      <c r="W159" s="141"/>
      <c r="X159" s="141"/>
      <c r="Y159" s="41"/>
      <c r="Z159" s="41"/>
      <c r="AA159" s="40"/>
      <c r="AB159"/>
      <c r="AC159"/>
      <c r="AD159"/>
      <c r="AE159"/>
      <c r="AF159"/>
      <c r="AG159"/>
      <c r="AH159" s="41"/>
      <c r="AI159" s="41"/>
      <c r="AJ159" s="42"/>
      <c r="AK159" s="43"/>
      <c r="AL159" s="43"/>
      <c r="AM159" s="43"/>
      <c r="AN159" s="43"/>
      <c r="AO159" s="43"/>
      <c r="AP159" s="43"/>
      <c r="AQ159" s="44"/>
    </row>
    <row r="160" spans="1:43" ht="12.75">
      <c r="A160" s="141"/>
      <c r="B160" s="142"/>
      <c r="C160" s="143"/>
      <c r="I160" s="142"/>
      <c r="K160"/>
      <c r="L160"/>
      <c r="M160"/>
      <c r="N160"/>
      <c r="O160"/>
      <c r="R160" s="82"/>
      <c r="S160" s="141"/>
      <c r="T160" s="141"/>
      <c r="U160" s="141"/>
      <c r="V160" s="141"/>
      <c r="W160" s="141"/>
      <c r="X160" s="141"/>
      <c r="Y160" s="41"/>
      <c r="Z160" s="41"/>
      <c r="AA160" s="40"/>
      <c r="AB160"/>
      <c r="AC160"/>
      <c r="AD160"/>
      <c r="AE160"/>
      <c r="AF160"/>
      <c r="AG160"/>
      <c r="AH160" s="41"/>
      <c r="AI160" s="41"/>
      <c r="AJ160" s="42"/>
      <c r="AK160" s="43"/>
      <c r="AL160" s="43"/>
      <c r="AM160" s="43"/>
      <c r="AN160" s="43"/>
      <c r="AO160" s="43"/>
      <c r="AP160" s="43"/>
      <c r="AQ160" s="44"/>
    </row>
    <row r="161" spans="1:43" ht="12.75">
      <c r="A161" s="141"/>
      <c r="B161" s="142"/>
      <c r="C161" s="143"/>
      <c r="I161" s="142"/>
      <c r="K161"/>
      <c r="L161"/>
      <c r="M161"/>
      <c r="N161"/>
      <c r="O161"/>
      <c r="R161" s="82"/>
      <c r="S161" s="141"/>
      <c r="T161" s="141"/>
      <c r="U161" s="141"/>
      <c r="V161" s="141"/>
      <c r="W161" s="141"/>
      <c r="X161" s="141"/>
      <c r="Y161" s="41"/>
      <c r="Z161" s="41"/>
      <c r="AA161" s="40"/>
      <c r="AB161"/>
      <c r="AC161"/>
      <c r="AD161"/>
      <c r="AE161"/>
      <c r="AF161"/>
      <c r="AG161"/>
      <c r="AH161" s="41"/>
      <c r="AI161" s="41"/>
      <c r="AJ161" s="42"/>
      <c r="AK161" s="43"/>
      <c r="AL161" s="43"/>
      <c r="AM161" s="43"/>
      <c r="AN161" s="43"/>
      <c r="AO161" s="43"/>
      <c r="AP161" s="43"/>
      <c r="AQ161" s="44"/>
    </row>
    <row r="162" spans="1:43" ht="12.75">
      <c r="A162" s="141"/>
      <c r="B162" s="142"/>
      <c r="C162" s="143"/>
      <c r="I162" s="142"/>
      <c r="K162"/>
      <c r="L162"/>
      <c r="M162"/>
      <c r="N162"/>
      <c r="O162"/>
      <c r="R162" s="82"/>
      <c r="S162" s="141"/>
      <c r="T162" s="141"/>
      <c r="U162" s="141"/>
      <c r="V162" s="141"/>
      <c r="W162" s="141"/>
      <c r="X162" s="141"/>
      <c r="Y162" s="41"/>
      <c r="Z162" s="41"/>
      <c r="AA162" s="40"/>
      <c r="AB162"/>
      <c r="AC162"/>
      <c r="AD162"/>
      <c r="AE162"/>
      <c r="AF162"/>
      <c r="AG162"/>
      <c r="AH162" s="41"/>
      <c r="AI162" s="41"/>
      <c r="AJ162" s="42"/>
      <c r="AK162" s="43"/>
      <c r="AL162" s="43"/>
      <c r="AM162" s="43"/>
      <c r="AN162" s="43"/>
      <c r="AO162" s="43"/>
      <c r="AP162" s="43"/>
      <c r="AQ162" s="44"/>
    </row>
    <row r="163" spans="1:43" ht="12.75">
      <c r="A163" s="141"/>
      <c r="B163" s="142"/>
      <c r="C163" s="143"/>
      <c r="I163" s="142"/>
      <c r="K163"/>
      <c r="L163"/>
      <c r="M163"/>
      <c r="N163"/>
      <c r="O163"/>
      <c r="R163" s="82"/>
      <c r="S163" s="141"/>
      <c r="T163" s="141"/>
      <c r="U163" s="141"/>
      <c r="V163" s="141"/>
      <c r="W163" s="141"/>
      <c r="X163" s="141"/>
      <c r="Y163" s="41"/>
      <c r="Z163" s="41"/>
      <c r="AA163" s="40"/>
      <c r="AB163"/>
      <c r="AC163"/>
      <c r="AD163"/>
      <c r="AE163"/>
      <c r="AF163"/>
      <c r="AG163"/>
      <c r="AH163" s="41"/>
      <c r="AI163" s="41"/>
      <c r="AJ163" s="42"/>
      <c r="AK163" s="43"/>
      <c r="AL163" s="43"/>
      <c r="AM163" s="43"/>
      <c r="AN163" s="43"/>
      <c r="AO163" s="43"/>
      <c r="AP163" s="43"/>
      <c r="AQ163" s="44"/>
    </row>
    <row r="164" spans="1:43" ht="12.75">
      <c r="A164" s="141"/>
      <c r="B164" s="142"/>
      <c r="C164" s="143"/>
      <c r="I164" s="142"/>
      <c r="K164"/>
      <c r="L164"/>
      <c r="M164"/>
      <c r="N164"/>
      <c r="O164"/>
      <c r="R164" s="82"/>
      <c r="S164" s="141"/>
      <c r="T164" s="141"/>
      <c r="U164" s="141"/>
      <c r="V164" s="141"/>
      <c r="W164" s="141"/>
      <c r="X164" s="141"/>
      <c r="Y164" s="41"/>
      <c r="Z164" s="41"/>
      <c r="AA164" s="40"/>
      <c r="AB164"/>
      <c r="AC164"/>
      <c r="AD164"/>
      <c r="AE164"/>
      <c r="AF164"/>
      <c r="AG164"/>
      <c r="AH164" s="41"/>
      <c r="AI164" s="41"/>
      <c r="AJ164" s="42"/>
      <c r="AK164" s="43"/>
      <c r="AL164" s="43"/>
      <c r="AM164" s="43"/>
      <c r="AN164" s="43"/>
      <c r="AO164" s="43"/>
      <c r="AP164" s="43"/>
      <c r="AQ164" s="44"/>
    </row>
    <row r="165" spans="1:43" ht="12.75">
      <c r="A165" s="141"/>
      <c r="B165" s="142"/>
      <c r="C165" s="143"/>
      <c r="I165" s="142"/>
      <c r="K165"/>
      <c r="L165"/>
      <c r="M165"/>
      <c r="N165"/>
      <c r="O165"/>
      <c r="R165" s="82"/>
      <c r="S165" s="141"/>
      <c r="T165" s="141"/>
      <c r="U165" s="141"/>
      <c r="V165" s="141"/>
      <c r="W165" s="141"/>
      <c r="X165" s="141"/>
      <c r="Y165" s="41"/>
      <c r="Z165" s="41"/>
      <c r="AA165" s="40"/>
      <c r="AB165"/>
      <c r="AC165"/>
      <c r="AD165"/>
      <c r="AE165"/>
      <c r="AF165"/>
      <c r="AG165"/>
      <c r="AH165" s="41"/>
      <c r="AI165" s="41"/>
      <c r="AJ165" s="42"/>
      <c r="AK165" s="43"/>
      <c r="AL165" s="43"/>
      <c r="AM165" s="43"/>
      <c r="AN165" s="43"/>
      <c r="AO165" s="43"/>
      <c r="AP165" s="43"/>
      <c r="AQ165" s="44"/>
    </row>
    <row r="166" spans="1:43" ht="12.75">
      <c r="A166" s="141"/>
      <c r="B166" s="142"/>
      <c r="C166" s="143"/>
      <c r="I166" s="142"/>
      <c r="K166"/>
      <c r="L166"/>
      <c r="M166"/>
      <c r="N166"/>
      <c r="O166"/>
      <c r="R166" s="82"/>
      <c r="S166" s="141"/>
      <c r="T166" s="141"/>
      <c r="U166" s="141"/>
      <c r="V166" s="141"/>
      <c r="W166" s="141"/>
      <c r="X166" s="141"/>
      <c r="Y166" s="41"/>
      <c r="Z166" s="41"/>
      <c r="AA166" s="40"/>
      <c r="AB166"/>
      <c r="AC166"/>
      <c r="AD166"/>
      <c r="AE166"/>
      <c r="AF166"/>
      <c r="AG166"/>
      <c r="AH166" s="41"/>
      <c r="AI166" s="41"/>
      <c r="AJ166" s="42"/>
      <c r="AK166" s="43"/>
      <c r="AL166" s="43"/>
      <c r="AM166" s="43"/>
      <c r="AN166" s="43"/>
      <c r="AO166" s="43"/>
      <c r="AP166" s="43"/>
      <c r="AQ166" s="44"/>
    </row>
    <row r="167" spans="1:43" ht="12.75">
      <c r="A167" s="141"/>
      <c r="B167" s="142"/>
      <c r="C167" s="143"/>
      <c r="I167" s="142"/>
      <c r="K167"/>
      <c r="L167"/>
      <c r="M167"/>
      <c r="N167"/>
      <c r="O167"/>
      <c r="R167" s="82"/>
      <c r="S167" s="141"/>
      <c r="T167" s="141"/>
      <c r="U167" s="141"/>
      <c r="V167" s="141"/>
      <c r="W167" s="141"/>
      <c r="X167" s="141"/>
      <c r="Y167" s="41"/>
      <c r="Z167" s="41"/>
      <c r="AA167" s="40"/>
      <c r="AB167"/>
      <c r="AC167"/>
      <c r="AD167"/>
      <c r="AE167"/>
      <c r="AF167"/>
      <c r="AG167"/>
      <c r="AH167" s="41"/>
      <c r="AI167" s="41"/>
      <c r="AJ167" s="42"/>
      <c r="AK167" s="43"/>
      <c r="AL167" s="43"/>
      <c r="AM167" s="43"/>
      <c r="AN167" s="43"/>
      <c r="AO167" s="43"/>
      <c r="AP167" s="43"/>
      <c r="AQ167" s="44"/>
    </row>
    <row r="168" spans="1:43" ht="12.75">
      <c r="A168" s="141"/>
      <c r="B168" s="142"/>
      <c r="C168" s="143"/>
      <c r="I168" s="142"/>
      <c r="K168"/>
      <c r="L168"/>
      <c r="M168"/>
      <c r="N168"/>
      <c r="O168"/>
      <c r="R168" s="82"/>
      <c r="S168" s="141"/>
      <c r="T168" s="141"/>
      <c r="U168" s="141"/>
      <c r="V168" s="141"/>
      <c r="W168" s="141"/>
      <c r="X168" s="141"/>
      <c r="Y168" s="41"/>
      <c r="Z168" s="41"/>
      <c r="AA168" s="40"/>
      <c r="AB168"/>
      <c r="AC168"/>
      <c r="AD168"/>
      <c r="AE168"/>
      <c r="AF168"/>
      <c r="AG168"/>
      <c r="AH168" s="41"/>
      <c r="AI168" s="41"/>
      <c r="AJ168" s="42"/>
      <c r="AK168" s="43"/>
      <c r="AL168" s="43"/>
      <c r="AM168" s="43"/>
      <c r="AN168" s="43"/>
      <c r="AO168" s="43"/>
      <c r="AP168" s="43"/>
      <c r="AQ168" s="44"/>
    </row>
    <row r="169" spans="1:43" ht="12.75">
      <c r="A169" s="141"/>
      <c r="B169" s="142"/>
      <c r="C169" s="143"/>
      <c r="I169" s="142"/>
      <c r="K169"/>
      <c r="L169"/>
      <c r="M169"/>
      <c r="N169"/>
      <c r="O169"/>
      <c r="R169" s="82"/>
      <c r="S169" s="141"/>
      <c r="T169" s="141"/>
      <c r="U169" s="141"/>
      <c r="V169" s="141"/>
      <c r="W169" s="141"/>
      <c r="X169" s="141"/>
      <c r="Y169" s="41"/>
      <c r="Z169" s="41"/>
      <c r="AA169" s="40"/>
      <c r="AB169"/>
      <c r="AC169"/>
      <c r="AD169"/>
      <c r="AE169"/>
      <c r="AF169"/>
      <c r="AG169"/>
      <c r="AH169" s="41"/>
      <c r="AI169" s="41"/>
      <c r="AJ169" s="42"/>
      <c r="AK169" s="43"/>
      <c r="AL169" s="43"/>
      <c r="AM169" s="43"/>
      <c r="AN169" s="43"/>
      <c r="AO169" s="43"/>
      <c r="AP169" s="43"/>
      <c r="AQ169" s="44"/>
    </row>
    <row r="170" spans="1:43" ht="12.75">
      <c r="A170" s="141"/>
      <c r="B170" s="142"/>
      <c r="C170" s="143"/>
      <c r="I170" s="142"/>
      <c r="K170"/>
      <c r="L170"/>
      <c r="M170"/>
      <c r="N170"/>
      <c r="O170"/>
      <c r="R170" s="82"/>
      <c r="S170" s="141"/>
      <c r="T170" s="141"/>
      <c r="U170" s="141"/>
      <c r="V170" s="141"/>
      <c r="W170" s="141"/>
      <c r="X170" s="141"/>
      <c r="Y170" s="41"/>
      <c r="Z170" s="41"/>
      <c r="AA170" s="40"/>
      <c r="AB170"/>
      <c r="AC170"/>
      <c r="AD170"/>
      <c r="AE170"/>
      <c r="AF170"/>
      <c r="AG170"/>
      <c r="AH170" s="41"/>
      <c r="AI170" s="41"/>
      <c r="AJ170" s="42"/>
      <c r="AK170" s="43"/>
      <c r="AL170" s="43"/>
      <c r="AM170" s="43"/>
      <c r="AN170" s="43"/>
      <c r="AO170" s="43"/>
      <c r="AP170" s="43"/>
      <c r="AQ170" s="44"/>
    </row>
    <row r="171" spans="1:43" ht="12.75">
      <c r="A171" s="141"/>
      <c r="B171" s="142"/>
      <c r="C171" s="143"/>
      <c r="I171" s="142"/>
      <c r="K171"/>
      <c r="L171"/>
      <c r="M171"/>
      <c r="N171"/>
      <c r="O171"/>
      <c r="R171" s="82"/>
      <c r="S171" s="141"/>
      <c r="T171" s="141"/>
      <c r="U171" s="141"/>
      <c r="V171" s="141"/>
      <c r="W171" s="141"/>
      <c r="X171" s="141"/>
      <c r="Y171" s="41"/>
      <c r="Z171" s="41"/>
      <c r="AA171" s="40"/>
      <c r="AB171"/>
      <c r="AC171"/>
      <c r="AD171"/>
      <c r="AE171"/>
      <c r="AF171"/>
      <c r="AG171"/>
      <c r="AH171" s="41"/>
      <c r="AI171" s="41"/>
      <c r="AJ171" s="42"/>
      <c r="AK171" s="43"/>
      <c r="AL171" s="43"/>
      <c r="AM171" s="43"/>
      <c r="AN171" s="43"/>
      <c r="AO171" s="43"/>
      <c r="AP171" s="43"/>
      <c r="AQ171" s="44"/>
    </row>
    <row r="172" spans="1:43" ht="12.75">
      <c r="A172" s="141"/>
      <c r="B172" s="142"/>
      <c r="C172" s="143"/>
      <c r="I172" s="142"/>
      <c r="K172"/>
      <c r="L172"/>
      <c r="M172"/>
      <c r="N172"/>
      <c r="O172"/>
      <c r="R172" s="82"/>
      <c r="S172" s="141"/>
      <c r="T172" s="141"/>
      <c r="U172" s="141"/>
      <c r="V172" s="141"/>
      <c r="W172" s="141"/>
      <c r="X172" s="141"/>
      <c r="Y172" s="41"/>
      <c r="Z172" s="41"/>
      <c r="AA172" s="40"/>
      <c r="AB172"/>
      <c r="AC172"/>
      <c r="AD172"/>
      <c r="AE172"/>
      <c r="AF172"/>
      <c r="AG172"/>
      <c r="AH172" s="41"/>
      <c r="AI172" s="41"/>
      <c r="AJ172" s="42"/>
      <c r="AK172" s="43"/>
      <c r="AL172" s="43"/>
      <c r="AM172" s="43"/>
      <c r="AN172" s="43"/>
      <c r="AO172" s="43"/>
      <c r="AP172" s="43"/>
      <c r="AQ172" s="44"/>
    </row>
    <row r="173" spans="1:43" ht="12.75">
      <c r="A173" s="141"/>
      <c r="B173" s="142"/>
      <c r="C173" s="143"/>
      <c r="I173" s="142"/>
      <c r="K173"/>
      <c r="L173"/>
      <c r="M173"/>
      <c r="N173"/>
      <c r="O173"/>
      <c r="R173" s="82"/>
      <c r="S173" s="141"/>
      <c r="T173" s="141"/>
      <c r="U173" s="141"/>
      <c r="V173" s="141"/>
      <c r="W173" s="141"/>
      <c r="X173" s="141"/>
      <c r="Y173" s="41"/>
      <c r="Z173" s="41"/>
      <c r="AA173" s="40"/>
      <c r="AB173"/>
      <c r="AC173"/>
      <c r="AD173"/>
      <c r="AE173"/>
      <c r="AF173"/>
      <c r="AG173"/>
      <c r="AH173" s="41"/>
      <c r="AI173" s="41"/>
      <c r="AJ173" s="42"/>
      <c r="AK173" s="43"/>
      <c r="AL173" s="43"/>
      <c r="AM173" s="43"/>
      <c r="AN173" s="43"/>
      <c r="AO173" s="43"/>
      <c r="AP173" s="43"/>
      <c r="AQ173" s="44"/>
    </row>
    <row r="174" spans="1:43" ht="12.75">
      <c r="A174" s="141"/>
      <c r="B174" s="142"/>
      <c r="C174" s="143"/>
      <c r="I174" s="142"/>
      <c r="K174"/>
      <c r="L174"/>
      <c r="M174"/>
      <c r="N174"/>
      <c r="O174"/>
      <c r="R174" s="82"/>
      <c r="S174" s="141"/>
      <c r="T174" s="141"/>
      <c r="U174" s="141"/>
      <c r="V174" s="141"/>
      <c r="W174" s="141"/>
      <c r="X174" s="141"/>
      <c r="Y174" s="41"/>
      <c r="Z174" s="41"/>
      <c r="AA174" s="40"/>
      <c r="AB174"/>
      <c r="AC174"/>
      <c r="AD174"/>
      <c r="AE174"/>
      <c r="AF174"/>
      <c r="AG174"/>
      <c r="AH174" s="41"/>
      <c r="AI174" s="41"/>
      <c r="AJ174" s="42"/>
      <c r="AK174" s="43"/>
      <c r="AL174" s="43"/>
      <c r="AM174" s="43"/>
      <c r="AN174" s="43"/>
      <c r="AO174" s="43"/>
      <c r="AP174" s="43"/>
      <c r="AQ174" s="44"/>
    </row>
    <row r="175" spans="1:43" ht="12.75">
      <c r="A175" s="141"/>
      <c r="B175" s="142"/>
      <c r="C175" s="143"/>
      <c r="I175" s="142"/>
      <c r="K175"/>
      <c r="L175"/>
      <c r="M175"/>
      <c r="N175"/>
      <c r="O175"/>
      <c r="R175" s="82"/>
      <c r="S175" s="141"/>
      <c r="T175" s="141"/>
      <c r="U175" s="141"/>
      <c r="V175" s="141"/>
      <c r="W175" s="141"/>
      <c r="X175" s="141"/>
      <c r="Y175" s="41"/>
      <c r="Z175" s="41"/>
      <c r="AA175" s="40"/>
      <c r="AB175"/>
      <c r="AC175"/>
      <c r="AD175"/>
      <c r="AE175"/>
      <c r="AF175"/>
      <c r="AG175"/>
      <c r="AH175" s="41"/>
      <c r="AI175" s="41"/>
      <c r="AJ175" s="42"/>
      <c r="AK175" s="43"/>
      <c r="AL175" s="43"/>
      <c r="AM175" s="43"/>
      <c r="AN175" s="43"/>
      <c r="AO175" s="43"/>
      <c r="AP175" s="43"/>
      <c r="AQ175" s="44"/>
    </row>
    <row r="176" spans="1:43" ht="12.75">
      <c r="A176" s="141"/>
      <c r="B176" s="142"/>
      <c r="C176" s="143"/>
      <c r="I176" s="142"/>
      <c r="K176"/>
      <c r="L176"/>
      <c r="M176"/>
      <c r="N176"/>
      <c r="O176"/>
      <c r="R176" s="82"/>
      <c r="S176" s="141"/>
      <c r="T176" s="141"/>
      <c r="U176" s="141"/>
      <c r="V176" s="141"/>
      <c r="W176" s="141"/>
      <c r="X176" s="141"/>
      <c r="Y176" s="41"/>
      <c r="Z176" s="41"/>
      <c r="AA176" s="40"/>
      <c r="AB176"/>
      <c r="AC176"/>
      <c r="AD176"/>
      <c r="AE176"/>
      <c r="AF176"/>
      <c r="AG176"/>
      <c r="AH176" s="41"/>
      <c r="AI176" s="41"/>
      <c r="AJ176" s="42"/>
      <c r="AK176" s="43"/>
      <c r="AL176" s="43"/>
      <c r="AM176" s="43"/>
      <c r="AN176" s="43"/>
      <c r="AO176" s="43"/>
      <c r="AP176" s="43"/>
      <c r="AQ176" s="44"/>
    </row>
    <row r="177" spans="1:43" ht="12.75">
      <c r="A177" s="141"/>
      <c r="B177" s="142"/>
      <c r="C177" s="143"/>
      <c r="I177" s="142"/>
      <c r="K177"/>
      <c r="L177"/>
      <c r="M177"/>
      <c r="N177"/>
      <c r="O177"/>
      <c r="R177" s="82"/>
      <c r="S177" s="141"/>
      <c r="T177" s="141"/>
      <c r="U177" s="141"/>
      <c r="V177" s="141"/>
      <c r="W177" s="141"/>
      <c r="X177" s="141"/>
      <c r="Y177" s="41"/>
      <c r="Z177" s="41"/>
      <c r="AA177" s="40"/>
      <c r="AB177"/>
      <c r="AC177"/>
      <c r="AD177"/>
      <c r="AE177"/>
      <c r="AF177"/>
      <c r="AG177"/>
      <c r="AH177" s="41"/>
      <c r="AI177" s="41"/>
      <c r="AJ177" s="42"/>
      <c r="AK177" s="43"/>
      <c r="AL177" s="43"/>
      <c r="AM177" s="43"/>
      <c r="AN177" s="43"/>
      <c r="AO177" s="43"/>
      <c r="AP177" s="43"/>
      <c r="AQ177" s="44"/>
    </row>
    <row r="178" spans="1:43" ht="12.75">
      <c r="A178"/>
      <c r="B178" s="142"/>
      <c r="C178" s="143"/>
      <c r="I178" s="142"/>
      <c r="K178"/>
      <c r="L178"/>
      <c r="M178"/>
      <c r="N178"/>
      <c r="O178"/>
      <c r="R178" s="82"/>
      <c r="S178" s="141"/>
      <c r="T178" s="141"/>
      <c r="U178" s="141"/>
      <c r="V178" s="141"/>
      <c r="W178" s="141"/>
      <c r="X178" s="141"/>
      <c r="Y178" s="41"/>
      <c r="Z178" s="41"/>
      <c r="AA178" s="40"/>
      <c r="AB178"/>
      <c r="AC178"/>
      <c r="AD178"/>
      <c r="AE178"/>
      <c r="AF178"/>
      <c r="AG178"/>
      <c r="AH178" s="41"/>
      <c r="AI178" s="41"/>
      <c r="AJ178" s="42"/>
      <c r="AK178" s="43"/>
      <c r="AL178" s="43"/>
      <c r="AM178" s="43"/>
      <c r="AN178" s="43"/>
      <c r="AO178" s="43"/>
      <c r="AP178" s="43"/>
      <c r="AQ178" s="44"/>
    </row>
    <row r="179" spans="1:43" ht="12.75">
      <c r="A179"/>
      <c r="B179" s="142"/>
      <c r="C179" s="143"/>
      <c r="I179" s="142"/>
      <c r="K179"/>
      <c r="L179"/>
      <c r="M179"/>
      <c r="N179"/>
      <c r="O179"/>
      <c r="R179" s="82"/>
      <c r="S179" s="141"/>
      <c r="T179" s="141"/>
      <c r="U179" s="141"/>
      <c r="V179" s="141"/>
      <c r="W179" s="141"/>
      <c r="X179" s="141"/>
      <c r="Y179" s="41"/>
      <c r="Z179" s="41"/>
      <c r="AA179" s="40"/>
      <c r="AB179"/>
      <c r="AC179"/>
      <c r="AD179"/>
      <c r="AE179"/>
      <c r="AF179"/>
      <c r="AG179"/>
      <c r="AH179" s="41"/>
      <c r="AI179" s="41"/>
      <c r="AJ179" s="42"/>
      <c r="AK179" s="43"/>
      <c r="AL179" s="43"/>
      <c r="AM179" s="43"/>
      <c r="AN179" s="43"/>
      <c r="AO179" s="43"/>
      <c r="AP179" s="43"/>
      <c r="AQ179" s="44"/>
    </row>
  </sheetData>
  <mergeCells count="7">
    <mergeCell ref="AJ10:AR10"/>
    <mergeCell ref="AS10:AT10"/>
    <mergeCell ref="AS11:AT11"/>
    <mergeCell ref="I10:J10"/>
    <mergeCell ref="K10:Q10"/>
    <mergeCell ref="R10:Z10"/>
    <mergeCell ref="AA10:AI10"/>
  </mergeCells>
  <phoneticPr fontId="3" type="noConversion"/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2:AY54"/>
  <sheetViews>
    <sheetView workbookViewId="0">
      <selection activeCell="C12" sqref="C12"/>
    </sheetView>
  </sheetViews>
  <sheetFormatPr baseColWidth="10" defaultColWidth="11.5703125" defaultRowHeight="11.25"/>
  <cols>
    <col min="1" max="1" width="8.7109375" style="1" customWidth="1"/>
    <col min="2" max="2" width="3.85546875" style="2" customWidth="1"/>
    <col min="3" max="3" width="5" style="2" customWidth="1"/>
    <col min="4" max="4" width="7.140625" style="2" customWidth="1"/>
    <col min="5" max="5" width="4.140625" style="2" customWidth="1"/>
    <col min="6" max="6" width="3.140625" style="2" customWidth="1"/>
    <col min="7" max="7" width="4" style="1" bestFit="1" customWidth="1"/>
    <col min="8" max="8" width="4.85546875" style="1" bestFit="1" customWidth="1"/>
    <col min="9" max="9" width="6.7109375" style="1" customWidth="1"/>
    <col min="10" max="10" width="4.140625" style="1" bestFit="1" customWidth="1"/>
    <col min="11" max="12" width="2.5703125" style="1" customWidth="1"/>
    <col min="13" max="14" width="3" style="1" customWidth="1"/>
    <col min="15" max="15" width="3.7109375" style="1" customWidth="1"/>
    <col min="16" max="16" width="3.42578125" style="1" customWidth="1"/>
    <col min="17" max="17" width="4.42578125" style="1" customWidth="1"/>
    <col min="18" max="18" width="5.28515625" style="1" customWidth="1"/>
    <col min="19" max="19" width="6.140625" style="1" bestFit="1" customWidth="1"/>
    <col min="20" max="20" width="5" style="1" customWidth="1"/>
    <col min="21" max="21" width="5.140625" style="1" customWidth="1"/>
    <col min="22" max="22" width="4.42578125" style="1" customWidth="1"/>
    <col min="23" max="23" width="4.7109375" style="1" customWidth="1"/>
    <col min="24" max="24" width="4.42578125" style="1" customWidth="1"/>
    <col min="25" max="25" width="5.7109375" style="1" customWidth="1"/>
    <col min="26" max="26" width="6" style="1" customWidth="1"/>
    <col min="27" max="27" width="5.7109375" style="1" customWidth="1"/>
    <col min="28" max="28" width="4.7109375" style="1" customWidth="1"/>
    <col min="29" max="29" width="5.42578125" style="1" customWidth="1"/>
    <col min="30" max="30" width="4.7109375" style="1" customWidth="1"/>
    <col min="31" max="31" width="5.140625" style="1" customWidth="1"/>
    <col min="32" max="33" width="4.7109375" style="1" customWidth="1"/>
    <col min="34" max="35" width="6.140625" style="1" customWidth="1"/>
    <col min="36" max="36" width="8.140625" style="1" customWidth="1"/>
    <col min="37" max="37" width="7.7109375" style="1" customWidth="1"/>
    <col min="38" max="39" width="8.140625" style="1" customWidth="1"/>
    <col min="40" max="40" width="7.28515625" style="1" customWidth="1"/>
    <col min="41" max="41" width="7.140625" style="1" bestFit="1" customWidth="1"/>
    <col min="42" max="42" width="6.7109375" style="2" customWidth="1"/>
    <col min="43" max="43" width="8.5703125" style="2" customWidth="1"/>
    <col min="44" max="44" width="8" style="2" customWidth="1"/>
    <col min="45" max="16384" width="11.5703125" style="2"/>
  </cols>
  <sheetData>
    <row r="2" spans="1:51" ht="15">
      <c r="R2" s="3"/>
    </row>
    <row r="3" spans="1:51">
      <c r="B3" s="4" t="s">
        <v>0</v>
      </c>
      <c r="C3" s="5"/>
      <c r="D3" s="6"/>
      <c r="E3" s="7" t="s">
        <v>105</v>
      </c>
      <c r="F3" s="7"/>
      <c r="R3" s="8"/>
      <c r="W3" s="9"/>
      <c r="AG3" s="31" t="s">
        <v>1</v>
      </c>
      <c r="AH3" s="31"/>
      <c r="AI3" s="31"/>
      <c r="AJ3" s="31"/>
      <c r="AK3" s="31"/>
      <c r="AL3" s="31"/>
      <c r="AM3" s="3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ht="12.75" customHeight="1">
      <c r="B4" s="4" t="s">
        <v>2</v>
      </c>
      <c r="C4" s="5"/>
      <c r="D4" s="6"/>
      <c r="E4" s="7" t="s">
        <v>106</v>
      </c>
      <c r="F4" s="7"/>
      <c r="AG4" s="32" t="s">
        <v>3</v>
      </c>
      <c r="AH4" s="32"/>
      <c r="AI4" s="32"/>
      <c r="AJ4" s="30" t="s">
        <v>4</v>
      </c>
      <c r="AK4" s="30" t="s">
        <v>5</v>
      </c>
      <c r="AL4" s="30" t="s">
        <v>6</v>
      </c>
      <c r="AM4" s="30" t="s">
        <v>7</v>
      </c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ht="12.75" customHeight="1">
      <c r="B5" s="4" t="s">
        <v>8</v>
      </c>
      <c r="C5" s="5"/>
      <c r="D5" s="6"/>
      <c r="E5" s="7" t="s">
        <v>104</v>
      </c>
      <c r="F5" s="7"/>
      <c r="AG5" s="31" t="s">
        <v>9</v>
      </c>
      <c r="AH5" s="31"/>
      <c r="AI5" s="31"/>
      <c r="AJ5" s="30">
        <f>COUNT(AJ12:AJ65536)</f>
        <v>0</v>
      </c>
      <c r="AK5" s="30">
        <f>COUNT(AK12:AL65536)</f>
        <v>0</v>
      </c>
      <c r="AL5" s="30">
        <f>COUNT(AM12:AO65536)</f>
        <v>0</v>
      </c>
      <c r="AM5" s="30">
        <f>COUNT(AQ12:AQ65536)</f>
        <v>0</v>
      </c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ht="12.75" customHeight="1">
      <c r="B6" s="4" t="s">
        <v>10</v>
      </c>
      <c r="C6" s="5"/>
      <c r="D6" s="6"/>
      <c r="E6" s="7"/>
      <c r="F6" s="7"/>
      <c r="AG6" s="33" t="s">
        <v>11</v>
      </c>
      <c r="AH6" s="33"/>
      <c r="AI6" s="33"/>
      <c r="AJ6" s="34" t="e">
        <f>AVERAGE(AJ12:AJ65536)</f>
        <v>#DIV/0!</v>
      </c>
      <c r="AK6" s="35" t="e">
        <f>AVERAGE(AK12:AL65536)</f>
        <v>#DIV/0!</v>
      </c>
      <c r="AL6" s="35" t="e">
        <f>AVERAGE(AM12:AP65536)</f>
        <v>#DIV/0!</v>
      </c>
      <c r="AM6" s="35" t="e">
        <f>AVERAGE(AQ12:AQ65536)</f>
        <v>#DIV/0!</v>
      </c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ht="12.75" customHeight="1">
      <c r="B7" s="4"/>
      <c r="C7" s="5"/>
      <c r="D7" s="5"/>
      <c r="E7" s="10"/>
      <c r="F7" s="10"/>
      <c r="AG7" s="33" t="s">
        <v>12</v>
      </c>
      <c r="AH7" s="33"/>
      <c r="AI7" s="33"/>
      <c r="AJ7" s="34" t="e">
        <f>STDEV(AJ12:AJ65536)</f>
        <v>#DIV/0!</v>
      </c>
      <c r="AK7" s="35" t="e">
        <f>STDEV(AK12:AL65536)</f>
        <v>#DIV/0!</v>
      </c>
      <c r="AL7" s="35" t="e">
        <f>STDEV(AM12:AP65536)</f>
        <v>#DIV/0!</v>
      </c>
      <c r="AM7" s="35" t="e">
        <f>STDEV(AQ12:AQ65536)</f>
        <v>#DIV/0!</v>
      </c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ht="12.75" customHeight="1">
      <c r="B8" s="4"/>
      <c r="C8" s="5"/>
      <c r="D8" s="5"/>
      <c r="E8" s="10"/>
      <c r="F8" s="10"/>
      <c r="AG8" s="11"/>
      <c r="AH8" s="11"/>
      <c r="AI8" s="11"/>
      <c r="AJ8" s="12"/>
      <c r="AK8" s="13"/>
      <c r="AL8" s="13"/>
      <c r="AM8" s="12"/>
      <c r="AP8" s="1"/>
      <c r="AQ8" s="1"/>
      <c r="AR8" s="1"/>
      <c r="AS8" s="67"/>
      <c r="AT8" s="67"/>
      <c r="AU8" s="67"/>
      <c r="AV8" s="1"/>
      <c r="AW8" s="1"/>
      <c r="AX8" s="1"/>
      <c r="AY8" s="1"/>
    </row>
    <row r="9" spans="1:51" ht="12.75" customHeight="1">
      <c r="B9" s="1"/>
      <c r="C9" s="1"/>
      <c r="D9" s="1"/>
      <c r="E9" s="1"/>
      <c r="F9" s="1"/>
      <c r="AS9" s="37"/>
      <c r="AT9" s="37"/>
      <c r="AU9" s="37"/>
    </row>
    <row r="10" spans="1:51" ht="12.75" customHeight="1">
      <c r="A10" s="14" t="s">
        <v>13</v>
      </c>
      <c r="B10" s="15" t="s">
        <v>14</v>
      </c>
      <c r="C10" s="15" t="s">
        <v>15</v>
      </c>
      <c r="D10" s="16" t="s">
        <v>15</v>
      </c>
      <c r="E10" s="16" t="s">
        <v>16</v>
      </c>
      <c r="F10" s="16" t="s">
        <v>17</v>
      </c>
      <c r="G10" s="16" t="s">
        <v>18</v>
      </c>
      <c r="H10" s="16" t="s">
        <v>19</v>
      </c>
      <c r="I10" s="162" t="s">
        <v>20</v>
      </c>
      <c r="J10" s="163"/>
      <c r="K10" s="164" t="s">
        <v>21</v>
      </c>
      <c r="L10" s="165"/>
      <c r="M10" s="165"/>
      <c r="N10" s="165"/>
      <c r="O10" s="165"/>
      <c r="P10" s="165"/>
      <c r="Q10" s="166"/>
      <c r="R10" s="157" t="s">
        <v>43</v>
      </c>
      <c r="S10" s="158"/>
      <c r="T10" s="158"/>
      <c r="U10" s="158"/>
      <c r="V10" s="158"/>
      <c r="W10" s="158"/>
      <c r="X10" s="158"/>
      <c r="Y10" s="158"/>
      <c r="Z10" s="159"/>
      <c r="AA10" s="157" t="s">
        <v>42</v>
      </c>
      <c r="AB10" s="158"/>
      <c r="AC10" s="158"/>
      <c r="AD10" s="158"/>
      <c r="AE10" s="158"/>
      <c r="AF10" s="158"/>
      <c r="AG10" s="158"/>
      <c r="AH10" s="158"/>
      <c r="AI10" s="159"/>
      <c r="AJ10" s="157" t="s">
        <v>22</v>
      </c>
      <c r="AK10" s="158"/>
      <c r="AL10" s="158"/>
      <c r="AM10" s="158"/>
      <c r="AN10" s="158"/>
      <c r="AO10" s="158"/>
      <c r="AP10" s="158"/>
      <c r="AQ10" s="158"/>
      <c r="AR10" s="159"/>
      <c r="AS10" s="160"/>
      <c r="AT10" s="160"/>
      <c r="AU10" s="37"/>
    </row>
    <row r="11" spans="1:51" ht="12.75" customHeight="1">
      <c r="A11" s="49" t="s">
        <v>23</v>
      </c>
      <c r="B11" s="50" t="s">
        <v>24</v>
      </c>
      <c r="C11" s="50" t="s">
        <v>108</v>
      </c>
      <c r="D11" s="50" t="s">
        <v>109</v>
      </c>
      <c r="E11" s="50"/>
      <c r="F11" s="50"/>
      <c r="G11" s="50"/>
      <c r="H11" s="50"/>
      <c r="I11" s="50" t="s">
        <v>25</v>
      </c>
      <c r="J11" s="51" t="s">
        <v>26</v>
      </c>
      <c r="K11" s="52" t="s">
        <v>27</v>
      </c>
      <c r="L11" s="15" t="s">
        <v>28</v>
      </c>
      <c r="M11" s="15" t="s">
        <v>29</v>
      </c>
      <c r="N11" s="15" t="s">
        <v>30</v>
      </c>
      <c r="O11" s="15" t="s">
        <v>31</v>
      </c>
      <c r="P11" s="15" t="s">
        <v>32</v>
      </c>
      <c r="Q11" s="53" t="s">
        <v>33</v>
      </c>
      <c r="R11" s="52" t="s">
        <v>4</v>
      </c>
      <c r="S11" s="15" t="s">
        <v>34</v>
      </c>
      <c r="T11" s="15" t="s">
        <v>35</v>
      </c>
      <c r="U11" s="15" t="s">
        <v>36</v>
      </c>
      <c r="V11" s="15" t="s">
        <v>37</v>
      </c>
      <c r="W11" s="15" t="s">
        <v>38</v>
      </c>
      <c r="X11" s="15" t="s">
        <v>39</v>
      </c>
      <c r="Y11" s="16" t="s">
        <v>40</v>
      </c>
      <c r="Z11" s="53" t="s">
        <v>41</v>
      </c>
      <c r="AA11" s="52" t="s">
        <v>4</v>
      </c>
      <c r="AB11" s="15" t="s">
        <v>34</v>
      </c>
      <c r="AC11" s="15" t="s">
        <v>35</v>
      </c>
      <c r="AD11" s="15" t="s">
        <v>36</v>
      </c>
      <c r="AE11" s="15" t="s">
        <v>37</v>
      </c>
      <c r="AF11" s="15" t="s">
        <v>38</v>
      </c>
      <c r="AG11" s="15" t="s">
        <v>39</v>
      </c>
      <c r="AH11" s="16" t="s">
        <v>40</v>
      </c>
      <c r="AI11" s="53" t="s">
        <v>41</v>
      </c>
      <c r="AJ11" s="52" t="s">
        <v>4</v>
      </c>
      <c r="AK11" s="15" t="s">
        <v>34</v>
      </c>
      <c r="AL11" s="15" t="s">
        <v>35</v>
      </c>
      <c r="AM11" s="15" t="s">
        <v>36</v>
      </c>
      <c r="AN11" s="15" t="s">
        <v>37</v>
      </c>
      <c r="AO11" s="15" t="s">
        <v>38</v>
      </c>
      <c r="AP11" s="15" t="s">
        <v>39</v>
      </c>
      <c r="AQ11" s="16" t="s">
        <v>40</v>
      </c>
      <c r="AR11" s="53" t="s">
        <v>41</v>
      </c>
      <c r="AS11" s="161"/>
      <c r="AT11" s="161"/>
      <c r="AU11" s="37"/>
    </row>
    <row r="12" spans="1:51" s="17" customFormat="1" ht="12.75">
      <c r="A12" s="38"/>
      <c r="B12" s="23"/>
      <c r="C12" s="68"/>
      <c r="D12" s="59"/>
      <c r="E12" s="61"/>
      <c r="F12" s="63"/>
      <c r="G12" s="69"/>
      <c r="H12" s="77"/>
      <c r="I12" s="74"/>
      <c r="J12" s="18"/>
      <c r="K12" s="19"/>
      <c r="L12" s="20"/>
      <c r="M12" s="20"/>
      <c r="N12" s="20"/>
      <c r="O12" s="20"/>
      <c r="P12" s="78"/>
      <c r="Q12" s="29"/>
      <c r="R12" s="82"/>
      <c r="S12" s="28"/>
      <c r="T12" s="28"/>
      <c r="U12" s="28"/>
      <c r="V12" s="28"/>
      <c r="W12" s="28"/>
      <c r="X12" s="23"/>
      <c r="Y12" s="41"/>
      <c r="Z12" s="41"/>
      <c r="AA12" s="40"/>
      <c r="AB12" s="28"/>
      <c r="AC12" s="28"/>
      <c r="AD12" s="28"/>
      <c r="AE12" s="28"/>
      <c r="AF12" s="28"/>
      <c r="AG12" s="24"/>
      <c r="AH12" s="41"/>
      <c r="AI12" s="41"/>
      <c r="AJ12" s="42"/>
      <c r="AK12" s="43"/>
      <c r="AL12" s="43"/>
      <c r="AM12" s="43"/>
      <c r="AN12" s="43"/>
      <c r="AO12" s="43"/>
      <c r="AP12" s="43"/>
      <c r="AQ12" s="44"/>
      <c r="AR12" s="44" t="str">
        <f t="shared" ref="AR12:AR51" si="0">IF(Z12&lt;&gt;"",(AI12-Z12)/Z12,"")</f>
        <v/>
      </c>
      <c r="AS12" s="5"/>
      <c r="AT12" s="5"/>
      <c r="AU12" s="5"/>
    </row>
    <row r="13" spans="1:51" s="17" customFormat="1" ht="12.75">
      <c r="A13" s="38"/>
      <c r="B13" s="23"/>
      <c r="C13" s="68"/>
      <c r="D13" s="59"/>
      <c r="E13" s="61"/>
      <c r="F13" s="63"/>
      <c r="G13" s="69"/>
      <c r="H13" s="77"/>
      <c r="I13" s="75"/>
      <c r="J13" s="18"/>
      <c r="K13" s="19"/>
      <c r="L13" s="20"/>
      <c r="M13" s="20"/>
      <c r="N13" s="20"/>
      <c r="O13" s="20"/>
      <c r="P13" s="78"/>
      <c r="Q13" s="29"/>
      <c r="R13" s="82"/>
      <c r="S13" s="28"/>
      <c r="T13" s="28"/>
      <c r="U13" s="28"/>
      <c r="V13" s="28"/>
      <c r="W13" s="28"/>
      <c r="X13" s="23"/>
      <c r="Y13" s="41"/>
      <c r="Z13" s="41"/>
      <c r="AA13" s="40"/>
      <c r="AB13" s="28"/>
      <c r="AC13" s="28"/>
      <c r="AD13" s="28"/>
      <c r="AE13" s="28"/>
      <c r="AF13" s="28"/>
      <c r="AG13" s="24"/>
      <c r="AH13" s="41"/>
      <c r="AI13" s="41"/>
      <c r="AJ13" s="42"/>
      <c r="AK13" s="43"/>
      <c r="AL13" s="43"/>
      <c r="AM13" s="43"/>
      <c r="AN13" s="43"/>
      <c r="AO13" s="43"/>
      <c r="AP13" s="43"/>
      <c r="AQ13" s="44"/>
      <c r="AR13" s="44" t="str">
        <f t="shared" si="0"/>
        <v/>
      </c>
      <c r="AS13" s="5"/>
      <c r="AT13" s="5"/>
      <c r="AU13" s="5"/>
    </row>
    <row r="14" spans="1:51" s="17" customFormat="1" ht="12.75">
      <c r="A14" s="38"/>
      <c r="B14" s="23"/>
      <c r="C14" s="68"/>
      <c r="D14" s="59"/>
      <c r="E14" s="61"/>
      <c r="F14" s="63"/>
      <c r="G14" s="69"/>
      <c r="H14" s="77"/>
      <c r="I14" s="74"/>
      <c r="J14" s="18"/>
      <c r="K14" s="19"/>
      <c r="L14" s="20"/>
      <c r="M14" s="20"/>
      <c r="N14" s="20"/>
      <c r="O14" s="20"/>
      <c r="P14" s="78"/>
      <c r="Q14" s="29"/>
      <c r="R14" s="82"/>
      <c r="S14" s="28"/>
      <c r="T14" s="28"/>
      <c r="U14" s="28"/>
      <c r="V14" s="28"/>
      <c r="W14" s="28"/>
      <c r="X14" s="23"/>
      <c r="Y14" s="41"/>
      <c r="Z14" s="41"/>
      <c r="AA14" s="40"/>
      <c r="AB14" s="28"/>
      <c r="AC14" s="28"/>
      <c r="AD14" s="28"/>
      <c r="AE14" s="28"/>
      <c r="AF14" s="28"/>
      <c r="AG14" s="24"/>
      <c r="AH14" s="41"/>
      <c r="AI14" s="41"/>
      <c r="AJ14" s="42"/>
      <c r="AK14" s="43"/>
      <c r="AL14" s="43"/>
      <c r="AM14" s="43"/>
      <c r="AN14" s="43"/>
      <c r="AO14" s="43"/>
      <c r="AP14" s="43"/>
      <c r="AQ14" s="44"/>
      <c r="AR14" s="44" t="str">
        <f t="shared" si="0"/>
        <v/>
      </c>
    </row>
    <row r="15" spans="1:51" s="17" customFormat="1" ht="12.75">
      <c r="A15" s="38"/>
      <c r="B15" s="23"/>
      <c r="C15" s="68"/>
      <c r="D15" s="59"/>
      <c r="E15" s="61"/>
      <c r="F15" s="63"/>
      <c r="G15" s="69"/>
      <c r="H15" s="77"/>
      <c r="I15" s="74"/>
      <c r="J15" s="18"/>
      <c r="K15" s="19"/>
      <c r="L15" s="20"/>
      <c r="M15" s="20"/>
      <c r="N15" s="20"/>
      <c r="O15" s="20"/>
      <c r="P15" s="78"/>
      <c r="Q15" s="29"/>
      <c r="R15" s="82"/>
      <c r="S15" s="28"/>
      <c r="T15" s="28"/>
      <c r="U15" s="28"/>
      <c r="V15" s="28"/>
      <c r="W15" s="28"/>
      <c r="X15" s="23"/>
      <c r="Y15" s="41"/>
      <c r="Z15" s="41"/>
      <c r="AA15" s="40"/>
      <c r="AB15" s="28"/>
      <c r="AC15" s="28"/>
      <c r="AD15" s="28"/>
      <c r="AE15" s="28"/>
      <c r="AF15" s="28"/>
      <c r="AG15" s="24"/>
      <c r="AH15" s="41"/>
      <c r="AI15" s="41"/>
      <c r="AJ15" s="42"/>
      <c r="AK15" s="43"/>
      <c r="AL15" s="43"/>
      <c r="AM15" s="43"/>
      <c r="AN15" s="43"/>
      <c r="AO15" s="43"/>
      <c r="AP15" s="43"/>
      <c r="AQ15" s="44"/>
      <c r="AR15" s="44" t="str">
        <f t="shared" si="0"/>
        <v/>
      </c>
    </row>
    <row r="16" spans="1:51" s="17" customFormat="1" ht="12.75">
      <c r="A16" s="38"/>
      <c r="B16" s="23"/>
      <c r="C16" s="68"/>
      <c r="D16" s="59"/>
      <c r="E16" s="61"/>
      <c r="F16" s="63"/>
      <c r="G16" s="69"/>
      <c r="H16" s="77"/>
      <c r="I16" s="75"/>
      <c r="J16" s="18"/>
      <c r="K16" s="19"/>
      <c r="L16" s="20"/>
      <c r="M16" s="20"/>
      <c r="N16" s="20"/>
      <c r="O16" s="20"/>
      <c r="P16" s="78"/>
      <c r="Q16" s="29"/>
      <c r="R16" s="82"/>
      <c r="S16" s="28"/>
      <c r="T16" s="28"/>
      <c r="U16" s="28"/>
      <c r="V16" s="28"/>
      <c r="W16" s="28"/>
      <c r="X16" s="23"/>
      <c r="Y16" s="41"/>
      <c r="Z16" s="41"/>
      <c r="AA16" s="40"/>
      <c r="AB16" s="28"/>
      <c r="AC16" s="28"/>
      <c r="AD16" s="28"/>
      <c r="AE16" s="28"/>
      <c r="AF16" s="28"/>
      <c r="AG16" s="24"/>
      <c r="AH16" s="41"/>
      <c r="AI16" s="41"/>
      <c r="AJ16" s="42"/>
      <c r="AK16" s="43"/>
      <c r="AL16" s="43"/>
      <c r="AM16" s="43"/>
      <c r="AN16" s="43"/>
      <c r="AO16" s="43"/>
      <c r="AP16" s="43"/>
      <c r="AQ16" s="44"/>
      <c r="AR16" s="44" t="str">
        <f t="shared" si="0"/>
        <v/>
      </c>
    </row>
    <row r="17" spans="1:44" s="17" customFormat="1" ht="12.75">
      <c r="A17" s="38"/>
      <c r="B17" s="23"/>
      <c r="C17" s="68"/>
      <c r="D17" s="59"/>
      <c r="E17" s="61"/>
      <c r="F17" s="63"/>
      <c r="G17" s="69"/>
      <c r="H17" s="77"/>
      <c r="I17" s="75"/>
      <c r="J17" s="18"/>
      <c r="K17" s="19"/>
      <c r="L17" s="20"/>
      <c r="M17" s="20"/>
      <c r="N17" s="20"/>
      <c r="O17" s="20"/>
      <c r="P17" s="78"/>
      <c r="Q17" s="29"/>
      <c r="R17" s="82"/>
      <c r="S17" s="28"/>
      <c r="T17" s="28"/>
      <c r="U17" s="28"/>
      <c r="V17" s="28"/>
      <c r="W17" s="28"/>
      <c r="X17" s="23"/>
      <c r="Y17" s="41"/>
      <c r="Z17" s="41"/>
      <c r="AA17" s="40"/>
      <c r="AB17" s="28"/>
      <c r="AC17" s="28"/>
      <c r="AD17" s="28"/>
      <c r="AE17" s="28"/>
      <c r="AF17" s="28"/>
      <c r="AG17" s="24"/>
      <c r="AH17" s="41"/>
      <c r="AI17" s="41"/>
      <c r="AJ17" s="42"/>
      <c r="AK17" s="43"/>
      <c r="AL17" s="43"/>
      <c r="AM17" s="43"/>
      <c r="AN17" s="43"/>
      <c r="AO17" s="43"/>
      <c r="AP17" s="43"/>
      <c r="AQ17" s="44"/>
      <c r="AR17" s="44" t="str">
        <f t="shared" si="0"/>
        <v/>
      </c>
    </row>
    <row r="18" spans="1:44" s="17" customFormat="1" ht="12.75">
      <c r="A18" s="38"/>
      <c r="B18" s="23"/>
      <c r="C18" s="68"/>
      <c r="D18" s="59"/>
      <c r="E18" s="61"/>
      <c r="F18" s="63"/>
      <c r="G18" s="69"/>
      <c r="H18" s="77"/>
      <c r="I18" s="75"/>
      <c r="J18" s="18"/>
      <c r="K18" s="19"/>
      <c r="L18" s="20"/>
      <c r="M18" s="20"/>
      <c r="N18" s="20"/>
      <c r="O18" s="20"/>
      <c r="P18" s="78"/>
      <c r="Q18" s="29"/>
      <c r="R18" s="82"/>
      <c r="S18" s="28"/>
      <c r="T18" s="28"/>
      <c r="U18" s="28"/>
      <c r="V18" s="28"/>
      <c r="W18" s="28"/>
      <c r="X18" s="23"/>
      <c r="Y18" s="41"/>
      <c r="Z18" s="41"/>
      <c r="AA18" s="40"/>
      <c r="AB18" s="28"/>
      <c r="AC18" s="28"/>
      <c r="AD18" s="28"/>
      <c r="AE18" s="28"/>
      <c r="AF18" s="28"/>
      <c r="AG18" s="24"/>
      <c r="AH18" s="41"/>
      <c r="AI18" s="41"/>
      <c r="AJ18" s="42"/>
      <c r="AK18" s="43"/>
      <c r="AL18" s="43"/>
      <c r="AM18" s="43"/>
      <c r="AN18" s="43"/>
      <c r="AO18" s="43"/>
      <c r="AP18" s="43"/>
      <c r="AQ18" s="44"/>
      <c r="AR18" s="44" t="str">
        <f t="shared" si="0"/>
        <v/>
      </c>
    </row>
    <row r="19" spans="1:44" s="17" customFormat="1" ht="12.75">
      <c r="A19" s="38"/>
      <c r="B19" s="27"/>
      <c r="C19" s="68"/>
      <c r="D19" s="60"/>
      <c r="E19" s="62"/>
      <c r="F19" s="64"/>
      <c r="G19" s="70"/>
      <c r="H19" s="77"/>
      <c r="I19" s="75"/>
      <c r="J19" s="58"/>
      <c r="K19" s="19"/>
      <c r="L19" s="20"/>
      <c r="M19" s="20"/>
      <c r="N19" s="20"/>
      <c r="O19" s="20"/>
      <c r="P19" s="79"/>
      <c r="Q19" s="29"/>
      <c r="R19" s="82"/>
      <c r="S19" s="26"/>
      <c r="T19" s="26"/>
      <c r="U19" s="26"/>
      <c r="V19" s="26"/>
      <c r="W19" s="26"/>
      <c r="X19" s="27"/>
      <c r="Y19" s="41"/>
      <c r="Z19" s="41"/>
      <c r="AA19" s="40"/>
      <c r="AB19" s="28"/>
      <c r="AC19" s="28"/>
      <c r="AD19" s="28"/>
      <c r="AE19" s="28"/>
      <c r="AF19" s="28"/>
      <c r="AG19" s="24"/>
      <c r="AH19" s="41"/>
      <c r="AI19" s="41"/>
      <c r="AJ19" s="42"/>
      <c r="AK19" s="43"/>
      <c r="AL19" s="43"/>
      <c r="AM19" s="43"/>
      <c r="AN19" s="43"/>
      <c r="AO19" s="43"/>
      <c r="AP19" s="43"/>
      <c r="AQ19" s="44"/>
      <c r="AR19" s="44" t="str">
        <f t="shared" si="0"/>
        <v/>
      </c>
    </row>
    <row r="20" spans="1:44" s="17" customFormat="1" ht="12.75">
      <c r="A20" s="38"/>
      <c r="B20" s="23"/>
      <c r="C20" s="68"/>
      <c r="D20" s="21"/>
      <c r="E20" s="28"/>
      <c r="F20" s="22"/>
      <c r="G20" s="71"/>
      <c r="H20" s="77"/>
      <c r="I20" s="75"/>
      <c r="J20" s="39"/>
      <c r="K20" s="19"/>
      <c r="L20" s="20"/>
      <c r="M20" s="20"/>
      <c r="N20" s="20"/>
      <c r="O20" s="20"/>
      <c r="P20" s="80"/>
      <c r="Q20" s="29"/>
      <c r="R20" s="82"/>
      <c r="S20" s="28"/>
      <c r="T20" s="28"/>
      <c r="U20" s="28"/>
      <c r="V20" s="28"/>
      <c r="W20" s="28"/>
      <c r="X20" s="23"/>
      <c r="Y20" s="41"/>
      <c r="Z20" s="41"/>
      <c r="AA20" s="40"/>
      <c r="AB20" s="28"/>
      <c r="AC20" s="28"/>
      <c r="AD20" s="28"/>
      <c r="AE20" s="28"/>
      <c r="AF20" s="28"/>
      <c r="AG20" s="24"/>
      <c r="AH20" s="41"/>
      <c r="AI20" s="41"/>
      <c r="AJ20" s="42"/>
      <c r="AK20" s="43"/>
      <c r="AL20" s="43"/>
      <c r="AM20" s="43"/>
      <c r="AN20" s="43"/>
      <c r="AO20" s="43"/>
      <c r="AP20" s="43"/>
      <c r="AQ20" s="44"/>
      <c r="AR20" s="44" t="str">
        <f t="shared" si="0"/>
        <v/>
      </c>
    </row>
    <row r="21" spans="1:44" s="25" customFormat="1" ht="12.75">
      <c r="A21" s="38"/>
      <c r="B21" s="23"/>
      <c r="C21" s="68"/>
      <c r="D21" s="21"/>
      <c r="E21" s="28"/>
      <c r="F21" s="22"/>
      <c r="G21" s="71"/>
      <c r="H21" s="77"/>
      <c r="I21" s="75"/>
      <c r="J21" s="39"/>
      <c r="K21" s="19"/>
      <c r="L21" s="20"/>
      <c r="M21" s="20"/>
      <c r="N21" s="20"/>
      <c r="O21" s="20"/>
      <c r="P21" s="80"/>
      <c r="Q21" s="29"/>
      <c r="R21" s="82"/>
      <c r="S21" s="28"/>
      <c r="T21" s="28"/>
      <c r="U21" s="28"/>
      <c r="V21" s="28"/>
      <c r="W21" s="28"/>
      <c r="X21" s="23"/>
      <c r="Y21" s="41"/>
      <c r="Z21" s="41"/>
      <c r="AA21" s="40"/>
      <c r="AB21" s="28"/>
      <c r="AC21" s="28"/>
      <c r="AD21" s="28"/>
      <c r="AE21" s="28"/>
      <c r="AF21" s="28"/>
      <c r="AG21" s="24"/>
      <c r="AH21" s="41"/>
      <c r="AI21" s="41"/>
      <c r="AJ21" s="42"/>
      <c r="AK21" s="43"/>
      <c r="AL21" s="43"/>
      <c r="AM21" s="43"/>
      <c r="AN21" s="43"/>
      <c r="AO21" s="43"/>
      <c r="AP21" s="43"/>
      <c r="AQ21" s="44"/>
      <c r="AR21" s="44" t="str">
        <f t="shared" si="0"/>
        <v/>
      </c>
    </row>
    <row r="22" spans="1:44" s="25" customFormat="1" ht="12.75">
      <c r="A22" s="38"/>
      <c r="B22" s="23"/>
      <c r="C22" s="68"/>
      <c r="D22" s="21"/>
      <c r="E22" s="28"/>
      <c r="F22" s="22"/>
      <c r="G22" s="71"/>
      <c r="H22" s="77"/>
      <c r="I22" s="75"/>
      <c r="J22" s="39"/>
      <c r="K22" s="19"/>
      <c r="L22" s="20"/>
      <c r="M22" s="20"/>
      <c r="N22" s="20"/>
      <c r="O22" s="20"/>
      <c r="P22" s="80"/>
      <c r="Q22" s="29"/>
      <c r="R22" s="82"/>
      <c r="S22" s="28"/>
      <c r="T22" s="28"/>
      <c r="U22" s="28"/>
      <c r="V22" s="28"/>
      <c r="W22" s="28"/>
      <c r="X22" s="23"/>
      <c r="Y22" s="41"/>
      <c r="Z22" s="41"/>
      <c r="AA22" s="40"/>
      <c r="AB22" s="28"/>
      <c r="AC22" s="28"/>
      <c r="AD22" s="28"/>
      <c r="AE22" s="28"/>
      <c r="AF22" s="28"/>
      <c r="AG22" s="24"/>
      <c r="AH22" s="41"/>
      <c r="AI22" s="41"/>
      <c r="AJ22" s="42"/>
      <c r="AK22" s="43"/>
      <c r="AL22" s="43"/>
      <c r="AM22" s="43"/>
      <c r="AN22" s="43"/>
      <c r="AO22" s="43"/>
      <c r="AP22" s="43"/>
      <c r="AQ22" s="44"/>
      <c r="AR22" s="44" t="str">
        <f t="shared" si="0"/>
        <v/>
      </c>
    </row>
    <row r="23" spans="1:44" s="25" customFormat="1" ht="12.75">
      <c r="A23" s="38"/>
      <c r="B23" s="23"/>
      <c r="C23" s="68"/>
      <c r="D23" s="21"/>
      <c r="E23" s="28"/>
      <c r="F23" s="22"/>
      <c r="G23" s="71"/>
      <c r="H23" s="77"/>
      <c r="I23" s="75"/>
      <c r="J23" s="39"/>
      <c r="K23" s="19"/>
      <c r="L23" s="20"/>
      <c r="M23" s="20"/>
      <c r="N23" s="20"/>
      <c r="O23" s="20"/>
      <c r="P23" s="80"/>
      <c r="Q23" s="29"/>
      <c r="R23" s="82"/>
      <c r="S23" s="28"/>
      <c r="T23" s="28"/>
      <c r="U23" s="28"/>
      <c r="V23" s="28"/>
      <c r="W23" s="28"/>
      <c r="X23" s="23"/>
      <c r="Y23" s="41"/>
      <c r="Z23" s="41"/>
      <c r="AA23" s="40"/>
      <c r="AB23" s="28"/>
      <c r="AC23" s="28"/>
      <c r="AD23" s="28"/>
      <c r="AE23" s="28"/>
      <c r="AF23" s="28"/>
      <c r="AG23" s="24"/>
      <c r="AH23" s="41"/>
      <c r="AI23" s="41"/>
      <c r="AJ23" s="42"/>
      <c r="AK23" s="43"/>
      <c r="AL23" s="43"/>
      <c r="AM23" s="43"/>
      <c r="AN23" s="43"/>
      <c r="AO23" s="43"/>
      <c r="AP23" s="43"/>
      <c r="AQ23" s="44"/>
      <c r="AR23" s="44" t="str">
        <f t="shared" si="0"/>
        <v/>
      </c>
    </row>
    <row r="24" spans="1:44" s="25" customFormat="1" ht="12.75">
      <c r="A24" s="38"/>
      <c r="B24" s="23"/>
      <c r="C24" s="68"/>
      <c r="D24" s="21"/>
      <c r="E24" s="28"/>
      <c r="F24" s="22"/>
      <c r="G24" s="71"/>
      <c r="H24" s="77"/>
      <c r="I24" s="75"/>
      <c r="J24" s="39"/>
      <c r="K24" s="19"/>
      <c r="L24" s="20"/>
      <c r="M24" s="20"/>
      <c r="N24" s="20"/>
      <c r="O24" s="20"/>
      <c r="P24" s="80"/>
      <c r="Q24" s="29"/>
      <c r="R24" s="82"/>
      <c r="S24" s="28"/>
      <c r="T24" s="28"/>
      <c r="U24" s="28"/>
      <c r="V24" s="28"/>
      <c r="X24" s="23"/>
      <c r="Y24" s="41"/>
      <c r="Z24" s="41"/>
      <c r="AA24" s="40"/>
      <c r="AB24" s="28"/>
      <c r="AC24" s="28"/>
      <c r="AD24" s="28"/>
      <c r="AE24" s="28"/>
      <c r="AG24" s="24"/>
      <c r="AH24" s="41"/>
      <c r="AI24" s="41"/>
      <c r="AJ24" s="42"/>
      <c r="AK24" s="43"/>
      <c r="AL24" s="43"/>
      <c r="AM24" s="43"/>
      <c r="AN24" s="43"/>
      <c r="AO24" s="43"/>
      <c r="AP24" s="43"/>
      <c r="AQ24" s="44"/>
      <c r="AR24" s="44" t="str">
        <f t="shared" si="0"/>
        <v/>
      </c>
    </row>
    <row r="25" spans="1:44" s="25" customFormat="1" ht="12.75">
      <c r="A25" s="38"/>
      <c r="B25" s="23"/>
      <c r="C25" s="68"/>
      <c r="D25" s="21"/>
      <c r="E25" s="28"/>
      <c r="F25" s="22"/>
      <c r="G25" s="71"/>
      <c r="H25" s="77"/>
      <c r="I25" s="75"/>
      <c r="J25" s="39"/>
      <c r="K25" s="19"/>
      <c r="L25" s="20"/>
      <c r="M25" s="20"/>
      <c r="N25" s="20"/>
      <c r="O25" s="20"/>
      <c r="P25" s="80"/>
      <c r="Q25" s="29"/>
      <c r="R25" s="82"/>
      <c r="S25" s="28"/>
      <c r="T25" s="28"/>
      <c r="U25" s="28"/>
      <c r="V25" s="28"/>
      <c r="W25" s="28"/>
      <c r="X25" s="23"/>
      <c r="Y25" s="41"/>
      <c r="Z25" s="41"/>
      <c r="AA25" s="40"/>
      <c r="AB25" s="28"/>
      <c r="AC25" s="28"/>
      <c r="AD25" s="28"/>
      <c r="AE25" s="28"/>
      <c r="AF25" s="28"/>
      <c r="AG25" s="24"/>
      <c r="AH25" s="41"/>
      <c r="AI25" s="41"/>
      <c r="AJ25" s="42"/>
      <c r="AK25" s="43"/>
      <c r="AL25" s="43"/>
      <c r="AM25" s="43"/>
      <c r="AN25" s="43"/>
      <c r="AO25" s="43"/>
      <c r="AP25" s="43"/>
      <c r="AQ25" s="44"/>
      <c r="AR25" s="44" t="str">
        <f t="shared" si="0"/>
        <v/>
      </c>
    </row>
    <row r="26" spans="1:44" s="25" customFormat="1" ht="12.75">
      <c r="A26" s="38"/>
      <c r="B26" s="23"/>
      <c r="C26" s="68"/>
      <c r="D26" s="21"/>
      <c r="E26" s="28"/>
      <c r="F26" s="22"/>
      <c r="G26" s="71"/>
      <c r="H26" s="77"/>
      <c r="I26" s="75"/>
      <c r="J26" s="39"/>
      <c r="K26" s="19"/>
      <c r="L26" s="20"/>
      <c r="M26" s="20"/>
      <c r="N26" s="20"/>
      <c r="O26" s="20"/>
      <c r="P26" s="80"/>
      <c r="Q26" s="29"/>
      <c r="R26" s="82"/>
      <c r="S26" s="28"/>
      <c r="T26" s="28"/>
      <c r="U26" s="28"/>
      <c r="V26" s="28"/>
      <c r="W26" s="28"/>
      <c r="X26" s="23"/>
      <c r="Y26" s="41"/>
      <c r="Z26" s="41"/>
      <c r="AA26" s="40"/>
      <c r="AB26" s="28"/>
      <c r="AC26" s="28"/>
      <c r="AD26" s="28"/>
      <c r="AE26" s="28"/>
      <c r="AF26" s="28"/>
      <c r="AG26" s="24"/>
      <c r="AH26" s="41"/>
      <c r="AI26" s="41"/>
      <c r="AJ26" s="42"/>
      <c r="AK26" s="43"/>
      <c r="AL26" s="43"/>
      <c r="AM26" s="43"/>
      <c r="AN26" s="43"/>
      <c r="AO26" s="43"/>
      <c r="AP26" s="43"/>
      <c r="AQ26" s="44"/>
      <c r="AR26" s="44" t="str">
        <f t="shared" si="0"/>
        <v/>
      </c>
    </row>
    <row r="27" spans="1:44" s="25" customFormat="1" ht="12.75">
      <c r="A27" s="38"/>
      <c r="B27" s="23"/>
      <c r="C27" s="68"/>
      <c r="D27" s="21"/>
      <c r="E27" s="28"/>
      <c r="F27" s="22"/>
      <c r="G27" s="71"/>
      <c r="H27" s="77"/>
      <c r="I27" s="75"/>
      <c r="J27" s="39"/>
      <c r="K27" s="19"/>
      <c r="L27" s="20"/>
      <c r="M27" s="20"/>
      <c r="N27" s="20"/>
      <c r="O27" s="20"/>
      <c r="P27" s="80"/>
      <c r="Q27" s="29"/>
      <c r="R27" s="82"/>
      <c r="S27" s="28"/>
      <c r="T27" s="28"/>
      <c r="U27" s="28"/>
      <c r="V27" s="28"/>
      <c r="W27" s="28"/>
      <c r="X27" s="23"/>
      <c r="Y27" s="41"/>
      <c r="Z27" s="41"/>
      <c r="AA27" s="40"/>
      <c r="AB27" s="28"/>
      <c r="AC27" s="28"/>
      <c r="AD27" s="28"/>
      <c r="AE27" s="28"/>
      <c r="AF27" s="28"/>
      <c r="AG27" s="24"/>
      <c r="AH27" s="41"/>
      <c r="AI27" s="41"/>
      <c r="AJ27" s="42"/>
      <c r="AK27" s="43"/>
      <c r="AL27" s="43"/>
      <c r="AM27" s="43"/>
      <c r="AN27" s="43"/>
      <c r="AO27" s="43"/>
      <c r="AP27" s="43"/>
      <c r="AQ27" s="44"/>
      <c r="AR27" s="44" t="str">
        <f t="shared" si="0"/>
        <v/>
      </c>
    </row>
    <row r="28" spans="1:44" s="36" customFormat="1" ht="12.75">
      <c r="A28" s="38"/>
      <c r="B28" s="23"/>
      <c r="C28" s="68"/>
      <c r="D28" s="21"/>
      <c r="E28" s="28"/>
      <c r="F28" s="22"/>
      <c r="G28" s="71"/>
      <c r="H28" s="77"/>
      <c r="I28" s="75"/>
      <c r="J28" s="39"/>
      <c r="K28" s="19"/>
      <c r="L28" s="20"/>
      <c r="M28" s="20"/>
      <c r="N28" s="20"/>
      <c r="O28" s="20"/>
      <c r="P28" s="80"/>
      <c r="Q28" s="29"/>
      <c r="R28" s="82"/>
      <c r="S28" s="28"/>
      <c r="T28" s="28"/>
      <c r="U28" s="28"/>
      <c r="V28" s="28"/>
      <c r="W28" s="28"/>
      <c r="X28" s="23"/>
      <c r="Y28" s="41"/>
      <c r="Z28" s="41"/>
      <c r="AA28" s="40"/>
      <c r="AB28" s="28"/>
      <c r="AC28" s="28"/>
      <c r="AD28" s="28"/>
      <c r="AE28" s="28"/>
      <c r="AF28" s="28"/>
      <c r="AG28" s="24"/>
      <c r="AH28" s="41"/>
      <c r="AI28" s="41"/>
      <c r="AJ28" s="42"/>
      <c r="AK28" s="43"/>
      <c r="AL28" s="43"/>
      <c r="AM28" s="43"/>
      <c r="AN28" s="43"/>
      <c r="AO28" s="43"/>
      <c r="AP28" s="43"/>
      <c r="AQ28" s="44"/>
      <c r="AR28" s="44" t="str">
        <f t="shared" si="0"/>
        <v/>
      </c>
    </row>
    <row r="29" spans="1:44" s="37" customFormat="1" ht="12.75">
      <c r="A29" s="38"/>
      <c r="B29" s="23"/>
      <c r="C29" s="68"/>
      <c r="D29" s="21"/>
      <c r="E29" s="28"/>
      <c r="F29" s="22"/>
      <c r="G29" s="71"/>
      <c r="H29" s="77"/>
      <c r="I29" s="75"/>
      <c r="J29" s="39"/>
      <c r="K29" s="19"/>
      <c r="L29" s="20"/>
      <c r="M29" s="20"/>
      <c r="N29" s="20"/>
      <c r="O29" s="20"/>
      <c r="P29" s="80"/>
      <c r="Q29" s="29"/>
      <c r="R29" s="82"/>
      <c r="S29" s="28"/>
      <c r="T29" s="28"/>
      <c r="U29" s="28"/>
      <c r="V29" s="28"/>
      <c r="W29" s="28"/>
      <c r="X29" s="23"/>
      <c r="Y29" s="41"/>
      <c r="Z29" s="41"/>
      <c r="AA29" s="40"/>
      <c r="AB29" s="28"/>
      <c r="AC29" s="28"/>
      <c r="AD29" s="28"/>
      <c r="AE29" s="28"/>
      <c r="AF29" s="28"/>
      <c r="AG29" s="24"/>
      <c r="AH29" s="41"/>
      <c r="AI29" s="41"/>
      <c r="AJ29" s="42"/>
      <c r="AK29" s="43"/>
      <c r="AL29" s="43"/>
      <c r="AM29" s="43"/>
      <c r="AN29" s="43"/>
      <c r="AO29" s="43"/>
      <c r="AP29" s="43"/>
      <c r="AQ29" s="44"/>
      <c r="AR29" s="44" t="str">
        <f t="shared" si="0"/>
        <v/>
      </c>
    </row>
    <row r="30" spans="1:44" s="37" customFormat="1" ht="12.75">
      <c r="A30" s="38"/>
      <c r="B30" s="23"/>
      <c r="C30" s="68"/>
      <c r="D30" s="21"/>
      <c r="E30" s="28"/>
      <c r="F30" s="22"/>
      <c r="G30" s="71"/>
      <c r="H30" s="77"/>
      <c r="I30" s="75"/>
      <c r="J30" s="39"/>
      <c r="K30" s="19"/>
      <c r="L30" s="20"/>
      <c r="M30" s="20"/>
      <c r="N30" s="20"/>
      <c r="O30" s="20"/>
      <c r="P30" s="80"/>
      <c r="Q30" s="29"/>
      <c r="R30" s="82"/>
      <c r="S30" s="28"/>
      <c r="T30" s="28"/>
      <c r="U30" s="28"/>
      <c r="V30" s="28"/>
      <c r="W30" s="28"/>
      <c r="X30" s="23"/>
      <c r="Y30" s="41"/>
      <c r="Z30" s="41"/>
      <c r="AA30" s="40"/>
      <c r="AB30" s="28"/>
      <c r="AC30" s="28"/>
      <c r="AD30" s="28"/>
      <c r="AE30" s="28"/>
      <c r="AF30" s="28"/>
      <c r="AG30" s="24"/>
      <c r="AH30" s="41"/>
      <c r="AI30" s="41"/>
      <c r="AJ30" s="42"/>
      <c r="AK30" s="43"/>
      <c r="AL30" s="43"/>
      <c r="AM30" s="43"/>
      <c r="AN30" s="43"/>
      <c r="AO30" s="43"/>
      <c r="AP30" s="43"/>
      <c r="AQ30" s="44"/>
      <c r="AR30" s="44" t="str">
        <f t="shared" si="0"/>
        <v/>
      </c>
    </row>
    <row r="31" spans="1:44" s="37" customFormat="1" ht="12.75">
      <c r="A31" s="38"/>
      <c r="B31" s="23"/>
      <c r="C31" s="68"/>
      <c r="D31" s="21"/>
      <c r="E31" s="28"/>
      <c r="F31" s="22"/>
      <c r="G31" s="71"/>
      <c r="H31" s="77"/>
      <c r="I31" s="75"/>
      <c r="J31" s="39"/>
      <c r="K31" s="19"/>
      <c r="L31" s="20"/>
      <c r="M31" s="20"/>
      <c r="N31" s="20"/>
      <c r="O31" s="20"/>
      <c r="P31" s="80"/>
      <c r="Q31" s="29"/>
      <c r="R31" s="82"/>
      <c r="S31" s="28"/>
      <c r="T31" s="28"/>
      <c r="U31" s="28"/>
      <c r="V31" s="28"/>
      <c r="W31" s="28"/>
      <c r="X31" s="23"/>
      <c r="Y31" s="41"/>
      <c r="Z31" s="41"/>
      <c r="AA31" s="40"/>
      <c r="AB31" s="28"/>
      <c r="AC31" s="28"/>
      <c r="AD31" s="28"/>
      <c r="AE31" s="28"/>
      <c r="AF31" s="28"/>
      <c r="AG31" s="24"/>
      <c r="AH31" s="41"/>
      <c r="AI31" s="41"/>
      <c r="AJ31" s="42"/>
      <c r="AK31" s="43"/>
      <c r="AL31" s="43"/>
      <c r="AM31" s="43"/>
      <c r="AN31" s="43"/>
      <c r="AO31" s="43"/>
      <c r="AP31" s="43"/>
      <c r="AQ31" s="44"/>
      <c r="AR31" s="44" t="str">
        <f t="shared" si="0"/>
        <v/>
      </c>
    </row>
    <row r="32" spans="1:44" s="37" customFormat="1" ht="12.75">
      <c r="A32" s="38"/>
      <c r="B32" s="23"/>
      <c r="C32" s="68"/>
      <c r="D32" s="21"/>
      <c r="E32" s="28"/>
      <c r="F32" s="22"/>
      <c r="G32" s="71"/>
      <c r="H32" s="77"/>
      <c r="I32" s="75"/>
      <c r="J32" s="39"/>
      <c r="K32" s="19"/>
      <c r="L32" s="20"/>
      <c r="M32" s="20"/>
      <c r="N32" s="20"/>
      <c r="O32" s="20"/>
      <c r="P32" s="80"/>
      <c r="Q32" s="29"/>
      <c r="R32" s="82"/>
      <c r="S32" s="28"/>
      <c r="T32" s="28"/>
      <c r="U32" s="28"/>
      <c r="V32" s="28"/>
      <c r="W32" s="28"/>
      <c r="X32" s="23"/>
      <c r="Y32" s="41"/>
      <c r="Z32" s="41"/>
      <c r="AA32" s="40"/>
      <c r="AB32" s="28"/>
      <c r="AC32" s="28"/>
      <c r="AD32" s="28"/>
      <c r="AE32" s="28"/>
      <c r="AF32" s="28"/>
      <c r="AG32" s="24"/>
      <c r="AH32" s="41"/>
      <c r="AI32" s="41"/>
      <c r="AJ32" s="42"/>
      <c r="AK32" s="43"/>
      <c r="AL32" s="43"/>
      <c r="AM32" s="43"/>
      <c r="AN32" s="43"/>
      <c r="AO32" s="43"/>
      <c r="AP32" s="43"/>
      <c r="AQ32" s="44"/>
      <c r="AR32" s="44" t="str">
        <f t="shared" si="0"/>
        <v/>
      </c>
    </row>
    <row r="33" spans="1:44" s="37" customFormat="1" ht="12.75">
      <c r="A33" s="38"/>
      <c r="B33" s="23"/>
      <c r="C33" s="68"/>
      <c r="D33" s="21"/>
      <c r="E33" s="28"/>
      <c r="F33" s="22"/>
      <c r="G33" s="71"/>
      <c r="H33" s="77"/>
      <c r="I33" s="75"/>
      <c r="J33" s="39"/>
      <c r="K33" s="19"/>
      <c r="L33" s="20"/>
      <c r="M33" s="20"/>
      <c r="N33" s="20"/>
      <c r="O33" s="20"/>
      <c r="P33" s="80"/>
      <c r="Q33" s="29"/>
      <c r="R33" s="82"/>
      <c r="S33" s="28"/>
      <c r="T33" s="28"/>
      <c r="U33" s="28"/>
      <c r="V33" s="28"/>
      <c r="W33" s="28"/>
      <c r="X33" s="23"/>
      <c r="Y33" s="41"/>
      <c r="Z33" s="41"/>
      <c r="AA33" s="40"/>
      <c r="AB33" s="28"/>
      <c r="AC33" s="28"/>
      <c r="AD33" s="28"/>
      <c r="AE33" s="28"/>
      <c r="AF33" s="28"/>
      <c r="AG33" s="24"/>
      <c r="AH33" s="41"/>
      <c r="AI33" s="41"/>
      <c r="AJ33" s="42"/>
      <c r="AK33" s="43"/>
      <c r="AL33" s="43"/>
      <c r="AM33" s="43"/>
      <c r="AN33" s="43"/>
      <c r="AO33" s="43"/>
      <c r="AP33" s="43"/>
      <c r="AQ33" s="44"/>
      <c r="AR33" s="44" t="str">
        <f t="shared" si="0"/>
        <v/>
      </c>
    </row>
    <row r="34" spans="1:44" s="37" customFormat="1" ht="12.75">
      <c r="A34" s="38"/>
      <c r="B34" s="23"/>
      <c r="C34" s="68"/>
      <c r="D34" s="21"/>
      <c r="E34" s="28"/>
      <c r="F34" s="22"/>
      <c r="G34" s="71"/>
      <c r="H34" s="77"/>
      <c r="I34" s="75"/>
      <c r="J34" s="39"/>
      <c r="K34" s="19"/>
      <c r="L34" s="20"/>
      <c r="M34" s="20"/>
      <c r="N34" s="20"/>
      <c r="O34" s="20"/>
      <c r="P34" s="80"/>
      <c r="Q34" s="29"/>
      <c r="R34" s="82"/>
      <c r="S34" s="28"/>
      <c r="T34" s="28"/>
      <c r="U34" s="28"/>
      <c r="V34" s="28"/>
      <c r="W34" s="28"/>
      <c r="X34" s="23"/>
      <c r="Y34" s="41"/>
      <c r="Z34" s="41"/>
      <c r="AA34" s="40"/>
      <c r="AB34" s="28"/>
      <c r="AC34" s="28"/>
      <c r="AD34" s="28"/>
      <c r="AE34" s="28"/>
      <c r="AF34" s="28"/>
      <c r="AG34" s="24"/>
      <c r="AH34" s="41"/>
      <c r="AI34" s="41"/>
      <c r="AJ34" s="42"/>
      <c r="AK34" s="43"/>
      <c r="AL34" s="43"/>
      <c r="AM34" s="43"/>
      <c r="AN34" s="43"/>
      <c r="AO34" s="43"/>
      <c r="AP34" s="43"/>
      <c r="AQ34" s="44"/>
      <c r="AR34" s="44" t="str">
        <f t="shared" si="0"/>
        <v/>
      </c>
    </row>
    <row r="35" spans="1:44" s="37" customFormat="1" ht="12.75">
      <c r="A35" s="38"/>
      <c r="B35" s="39"/>
      <c r="C35" s="68"/>
      <c r="D35" s="65"/>
      <c r="E35" s="54"/>
      <c r="F35" s="55"/>
      <c r="G35" s="72"/>
      <c r="H35" s="77"/>
      <c r="I35" s="75"/>
      <c r="J35" s="39"/>
      <c r="K35" s="19"/>
      <c r="L35" s="20"/>
      <c r="M35" s="20"/>
      <c r="N35" s="20"/>
      <c r="O35" s="20"/>
      <c r="P35" s="80"/>
      <c r="Q35" s="29"/>
      <c r="R35" s="82"/>
      <c r="S35" s="56"/>
      <c r="T35" s="56"/>
      <c r="U35" s="56"/>
      <c r="V35" s="56"/>
      <c r="W35" s="56"/>
      <c r="X35" s="56"/>
      <c r="Y35" s="41"/>
      <c r="Z35" s="41"/>
      <c r="AA35" s="40"/>
      <c r="AB35" s="39"/>
      <c r="AC35" s="39"/>
      <c r="AD35" s="39"/>
      <c r="AE35" s="39"/>
      <c r="AF35" s="39"/>
      <c r="AG35" s="39"/>
      <c r="AH35" s="41"/>
      <c r="AI35" s="41"/>
      <c r="AJ35" s="42"/>
      <c r="AK35" s="43"/>
      <c r="AL35" s="43"/>
      <c r="AM35" s="43"/>
      <c r="AN35" s="43"/>
      <c r="AO35" s="43"/>
      <c r="AP35" s="43"/>
      <c r="AQ35" s="44"/>
      <c r="AR35" s="44" t="str">
        <f t="shared" si="0"/>
        <v/>
      </c>
    </row>
    <row r="36" spans="1:44" s="37" customFormat="1" ht="12.75">
      <c r="A36" s="38"/>
      <c r="B36" s="23"/>
      <c r="C36" s="68"/>
      <c r="D36" s="21"/>
      <c r="E36" s="28"/>
      <c r="F36" s="22"/>
      <c r="G36" s="71"/>
      <c r="H36" s="77"/>
      <c r="I36" s="75"/>
      <c r="J36" s="39"/>
      <c r="K36" s="19"/>
      <c r="L36" s="20"/>
      <c r="M36" s="20"/>
      <c r="N36" s="20"/>
      <c r="O36" s="20"/>
      <c r="P36" s="80"/>
      <c r="Q36" s="29"/>
      <c r="R36" s="82"/>
      <c r="S36" s="28"/>
      <c r="T36" s="28"/>
      <c r="U36" s="28"/>
      <c r="V36" s="28"/>
      <c r="W36" s="28"/>
      <c r="X36" s="23"/>
      <c r="Y36" s="41"/>
      <c r="Z36" s="41"/>
      <c r="AA36" s="40"/>
      <c r="AB36" s="28"/>
      <c r="AC36" s="28"/>
      <c r="AD36" s="28"/>
      <c r="AE36" s="28"/>
      <c r="AF36" s="28"/>
      <c r="AG36" s="24"/>
      <c r="AH36" s="41"/>
      <c r="AI36" s="41"/>
      <c r="AJ36" s="42"/>
      <c r="AK36" s="43"/>
      <c r="AL36" s="43"/>
      <c r="AM36" s="43"/>
      <c r="AN36" s="43"/>
      <c r="AO36" s="43"/>
      <c r="AP36" s="43"/>
      <c r="AQ36" s="44"/>
      <c r="AR36" s="44" t="str">
        <f t="shared" si="0"/>
        <v/>
      </c>
    </row>
    <row r="37" spans="1:44" s="37" customFormat="1" ht="12.75">
      <c r="A37" s="38"/>
      <c r="B37" s="45"/>
      <c r="C37" s="68"/>
      <c r="D37" s="66"/>
      <c r="E37" s="47"/>
      <c r="F37" s="46"/>
      <c r="G37" s="73"/>
      <c r="H37" s="77"/>
      <c r="I37" s="75"/>
      <c r="J37" s="48"/>
      <c r="K37" s="19"/>
      <c r="L37" s="20"/>
      <c r="M37" s="20"/>
      <c r="N37" s="20"/>
      <c r="O37" s="20"/>
      <c r="P37" s="81"/>
      <c r="Q37" s="29"/>
      <c r="R37" s="82"/>
      <c r="S37" s="47"/>
      <c r="T37" s="47"/>
      <c r="U37" s="47"/>
      <c r="V37" s="47"/>
      <c r="W37" s="47"/>
      <c r="X37" s="45"/>
      <c r="Y37" s="41"/>
      <c r="Z37" s="41"/>
      <c r="AA37" s="40"/>
      <c r="AB37" s="28"/>
      <c r="AC37" s="28"/>
      <c r="AD37" s="28"/>
      <c r="AE37" s="28"/>
      <c r="AF37" s="28"/>
      <c r="AG37" s="24"/>
      <c r="AH37" s="41"/>
      <c r="AI37" s="41"/>
      <c r="AJ37" s="42"/>
      <c r="AK37" s="43"/>
      <c r="AL37" s="43"/>
      <c r="AM37" s="43"/>
      <c r="AN37" s="43"/>
      <c r="AO37" s="43"/>
      <c r="AP37" s="43"/>
      <c r="AQ37" s="44"/>
      <c r="AR37" s="44" t="str">
        <f t="shared" si="0"/>
        <v/>
      </c>
    </row>
    <row r="38" spans="1:44" s="37" customFormat="1" ht="12.75">
      <c r="A38" s="38"/>
      <c r="B38" s="23"/>
      <c r="C38" s="68"/>
      <c r="D38" s="21"/>
      <c r="E38" s="28"/>
      <c r="F38" s="22"/>
      <c r="G38" s="71"/>
      <c r="H38" s="77"/>
      <c r="I38" s="75"/>
      <c r="J38" s="39"/>
      <c r="K38" s="19"/>
      <c r="L38" s="20"/>
      <c r="M38" s="20"/>
      <c r="N38" s="20"/>
      <c r="O38" s="20"/>
      <c r="P38" s="80"/>
      <c r="Q38" s="29"/>
      <c r="R38" s="82"/>
      <c r="S38" s="28"/>
      <c r="T38" s="28"/>
      <c r="U38" s="28"/>
      <c r="V38" s="28"/>
      <c r="W38" s="28"/>
      <c r="X38" s="23"/>
      <c r="Y38" s="41"/>
      <c r="Z38" s="41"/>
      <c r="AA38" s="40"/>
      <c r="AB38" s="28"/>
      <c r="AC38" s="28"/>
      <c r="AD38" s="28"/>
      <c r="AE38" s="28"/>
      <c r="AF38" s="28"/>
      <c r="AG38" s="24"/>
      <c r="AH38" s="41"/>
      <c r="AI38" s="41"/>
      <c r="AJ38" s="42"/>
      <c r="AK38" s="43"/>
      <c r="AL38" s="43"/>
      <c r="AM38" s="43"/>
      <c r="AN38" s="43"/>
      <c r="AO38" s="43"/>
      <c r="AP38" s="43"/>
      <c r="AQ38" s="44"/>
      <c r="AR38" s="44" t="str">
        <f t="shared" si="0"/>
        <v/>
      </c>
    </row>
    <row r="39" spans="1:44" s="37" customFormat="1" ht="12.75">
      <c r="A39" s="38"/>
      <c r="B39" s="23"/>
      <c r="C39" s="68"/>
      <c r="D39" s="21"/>
      <c r="E39" s="28"/>
      <c r="F39" s="22"/>
      <c r="G39" s="71"/>
      <c r="H39" s="77"/>
      <c r="I39" s="75"/>
      <c r="J39" s="39"/>
      <c r="K39" s="19"/>
      <c r="L39" s="20"/>
      <c r="M39" s="20"/>
      <c r="N39" s="20"/>
      <c r="O39" s="20"/>
      <c r="P39" s="80"/>
      <c r="Q39" s="29"/>
      <c r="R39" s="82"/>
      <c r="S39" s="28"/>
      <c r="T39" s="28"/>
      <c r="U39" s="28"/>
      <c r="V39" s="28"/>
      <c r="W39" s="28"/>
      <c r="X39" s="23"/>
      <c r="Y39" s="41"/>
      <c r="Z39" s="41"/>
      <c r="AA39" s="40"/>
      <c r="AB39" s="28"/>
      <c r="AC39" s="28"/>
      <c r="AD39" s="28"/>
      <c r="AE39" s="28"/>
      <c r="AF39" s="28"/>
      <c r="AG39" s="24"/>
      <c r="AH39" s="41"/>
      <c r="AI39" s="41"/>
      <c r="AJ39" s="42"/>
      <c r="AK39" s="43"/>
      <c r="AL39" s="43"/>
      <c r="AM39" s="43"/>
      <c r="AN39" s="43"/>
      <c r="AO39" s="43"/>
      <c r="AP39" s="43"/>
      <c r="AQ39" s="44"/>
      <c r="AR39" s="44" t="str">
        <f t="shared" si="0"/>
        <v/>
      </c>
    </row>
    <row r="40" spans="1:44" s="37" customFormat="1" ht="12.75">
      <c r="A40" s="38"/>
      <c r="B40" s="23"/>
      <c r="C40" s="68"/>
      <c r="D40" s="21"/>
      <c r="E40" s="28"/>
      <c r="F40" s="22"/>
      <c r="G40" s="71"/>
      <c r="H40" s="77"/>
      <c r="I40" s="75"/>
      <c r="J40" s="39"/>
      <c r="K40" s="19"/>
      <c r="L40" s="20"/>
      <c r="M40" s="20"/>
      <c r="N40" s="20"/>
      <c r="O40" s="20"/>
      <c r="P40" s="80"/>
      <c r="Q40" s="29"/>
      <c r="R40" s="82"/>
      <c r="S40" s="28"/>
      <c r="T40" s="28"/>
      <c r="U40" s="28"/>
      <c r="V40" s="28"/>
      <c r="W40" s="28"/>
      <c r="X40" s="23"/>
      <c r="Y40" s="41"/>
      <c r="Z40" s="41"/>
      <c r="AA40" s="40"/>
      <c r="AB40" s="28"/>
      <c r="AC40" s="28"/>
      <c r="AD40" s="28"/>
      <c r="AE40" s="28"/>
      <c r="AF40" s="28"/>
      <c r="AG40" s="24"/>
      <c r="AH40" s="41"/>
      <c r="AI40" s="41"/>
      <c r="AJ40" s="42"/>
      <c r="AK40" s="43"/>
      <c r="AL40" s="43"/>
      <c r="AM40" s="43"/>
      <c r="AN40" s="43"/>
      <c r="AO40" s="43"/>
      <c r="AP40" s="43"/>
      <c r="AQ40" s="44"/>
      <c r="AR40" s="44" t="str">
        <f t="shared" si="0"/>
        <v/>
      </c>
    </row>
    <row r="41" spans="1:44" ht="12.75">
      <c r="A41" s="38"/>
      <c r="B41" s="23"/>
      <c r="C41" s="68"/>
      <c r="D41" s="21"/>
      <c r="E41" s="28"/>
      <c r="F41" s="22"/>
      <c r="G41" s="71"/>
      <c r="H41" s="77"/>
      <c r="I41" s="75"/>
      <c r="J41" s="39"/>
      <c r="K41" s="19"/>
      <c r="L41" s="20"/>
      <c r="M41" s="20"/>
      <c r="N41" s="20"/>
      <c r="O41" s="20"/>
      <c r="P41" s="80"/>
      <c r="Q41" s="29"/>
      <c r="R41" s="82"/>
      <c r="S41" s="28"/>
      <c r="T41" s="28"/>
      <c r="U41" s="28"/>
      <c r="V41" s="28"/>
      <c r="W41" s="28"/>
      <c r="X41" s="23"/>
      <c r="Y41" s="41"/>
      <c r="Z41" s="41"/>
      <c r="AA41" s="40"/>
      <c r="AB41" s="28"/>
      <c r="AC41" s="28"/>
      <c r="AD41" s="28"/>
      <c r="AE41" s="28"/>
      <c r="AF41" s="28"/>
      <c r="AG41" s="24"/>
      <c r="AH41" s="41"/>
      <c r="AI41" s="41"/>
      <c r="AJ41" s="42"/>
      <c r="AK41" s="43"/>
      <c r="AL41" s="43"/>
      <c r="AM41" s="43"/>
      <c r="AN41" s="43"/>
      <c r="AO41" s="43"/>
      <c r="AP41" s="43"/>
      <c r="AQ41" s="44"/>
      <c r="AR41" s="44" t="str">
        <f t="shared" si="0"/>
        <v/>
      </c>
    </row>
    <row r="42" spans="1:44" ht="12.75">
      <c r="A42" s="38"/>
      <c r="B42" s="23"/>
      <c r="C42" s="68"/>
      <c r="D42" s="21"/>
      <c r="E42" s="28"/>
      <c r="F42" s="22"/>
      <c r="G42" s="71"/>
      <c r="H42" s="77"/>
      <c r="I42" s="75"/>
      <c r="J42" s="39"/>
      <c r="K42" s="19"/>
      <c r="L42" s="20"/>
      <c r="M42" s="20"/>
      <c r="N42" s="20"/>
      <c r="O42" s="20"/>
      <c r="P42" s="80"/>
      <c r="Q42" s="29"/>
      <c r="R42" s="82"/>
      <c r="S42" s="28"/>
      <c r="T42" s="28"/>
      <c r="U42" s="28"/>
      <c r="V42" s="28"/>
      <c r="W42" s="28"/>
      <c r="X42" s="23"/>
      <c r="Y42" s="41"/>
      <c r="Z42" s="41"/>
      <c r="AA42" s="40"/>
      <c r="AB42" s="28"/>
      <c r="AC42" s="28"/>
      <c r="AD42" s="28"/>
      <c r="AE42" s="28"/>
      <c r="AF42" s="28"/>
      <c r="AG42" s="24"/>
      <c r="AH42" s="41"/>
      <c r="AI42" s="41"/>
      <c r="AJ42" s="42"/>
      <c r="AK42" s="43"/>
      <c r="AL42" s="43"/>
      <c r="AM42" s="43"/>
      <c r="AN42" s="43"/>
      <c r="AO42" s="43"/>
      <c r="AP42" s="43"/>
      <c r="AQ42" s="44"/>
      <c r="AR42" s="44" t="str">
        <f t="shared" si="0"/>
        <v/>
      </c>
    </row>
    <row r="43" spans="1:44" ht="12.75">
      <c r="A43" s="38"/>
      <c r="B43" s="23"/>
      <c r="C43" s="68"/>
      <c r="D43" s="21"/>
      <c r="E43" s="28"/>
      <c r="F43" s="22"/>
      <c r="G43" s="71"/>
      <c r="H43" s="77"/>
      <c r="I43" s="76"/>
      <c r="J43" s="39"/>
      <c r="K43" s="19"/>
      <c r="L43" s="20"/>
      <c r="M43" s="20"/>
      <c r="N43" s="20"/>
      <c r="O43" s="20"/>
      <c r="P43" s="80"/>
      <c r="Q43" s="29"/>
      <c r="R43" s="82"/>
      <c r="S43" s="28"/>
      <c r="T43" s="28"/>
      <c r="U43" s="28"/>
      <c r="V43" s="28"/>
      <c r="W43" s="28"/>
      <c r="X43" s="23"/>
      <c r="Y43" s="41"/>
      <c r="Z43" s="41"/>
      <c r="AA43" s="40"/>
      <c r="AB43" s="28"/>
      <c r="AC43" s="28"/>
      <c r="AD43" s="28"/>
      <c r="AE43" s="28"/>
      <c r="AF43" s="28"/>
      <c r="AG43" s="24"/>
      <c r="AH43" s="41"/>
      <c r="AI43" s="41"/>
      <c r="AJ43" s="42"/>
      <c r="AK43" s="43"/>
      <c r="AL43" s="43"/>
      <c r="AM43" s="43"/>
      <c r="AN43" s="43"/>
      <c r="AO43" s="43"/>
      <c r="AP43" s="43"/>
      <c r="AQ43" s="44"/>
      <c r="AR43" s="44" t="str">
        <f t="shared" si="0"/>
        <v/>
      </c>
    </row>
    <row r="44" spans="1:44" ht="12.75">
      <c r="A44" s="38"/>
      <c r="B44" s="23"/>
      <c r="C44" s="68"/>
      <c r="D44" s="21"/>
      <c r="E44" s="28"/>
      <c r="F44" s="22"/>
      <c r="G44" s="71"/>
      <c r="H44" s="77"/>
      <c r="I44" s="75"/>
      <c r="J44" s="39"/>
      <c r="K44" s="19"/>
      <c r="L44" s="20"/>
      <c r="M44" s="20"/>
      <c r="N44" s="20"/>
      <c r="O44" s="20"/>
      <c r="P44" s="80"/>
      <c r="Q44" s="29"/>
      <c r="R44" s="82"/>
      <c r="S44" s="28"/>
      <c r="T44" s="28"/>
      <c r="U44" s="28"/>
      <c r="V44" s="28"/>
      <c r="W44" s="28"/>
      <c r="X44" s="23"/>
      <c r="Y44" s="41"/>
      <c r="Z44" s="41"/>
      <c r="AA44" s="40"/>
      <c r="AB44" s="28"/>
      <c r="AC44" s="28"/>
      <c r="AD44" s="28"/>
      <c r="AE44" s="28"/>
      <c r="AF44" s="28"/>
      <c r="AG44" s="24"/>
      <c r="AH44" s="41"/>
      <c r="AI44" s="41"/>
      <c r="AJ44" s="42"/>
      <c r="AK44" s="43"/>
      <c r="AL44" s="43"/>
      <c r="AM44" s="43"/>
      <c r="AN44" s="43"/>
      <c r="AO44" s="43"/>
      <c r="AP44" s="43"/>
      <c r="AQ44" s="44"/>
      <c r="AR44" s="44" t="str">
        <f t="shared" si="0"/>
        <v/>
      </c>
    </row>
    <row r="45" spans="1:44" ht="12.75">
      <c r="A45" s="38"/>
      <c r="B45" s="23"/>
      <c r="C45" s="68"/>
      <c r="D45" s="21"/>
      <c r="E45" s="28"/>
      <c r="F45" s="22"/>
      <c r="G45" s="71"/>
      <c r="H45" s="77"/>
      <c r="I45" s="75"/>
      <c r="J45" s="39"/>
      <c r="K45" s="19"/>
      <c r="L45" s="20"/>
      <c r="M45" s="20"/>
      <c r="N45" s="20"/>
      <c r="O45" s="20"/>
      <c r="P45" s="80"/>
      <c r="Q45" s="29"/>
      <c r="R45" s="82"/>
      <c r="S45" s="28"/>
      <c r="T45" s="28"/>
      <c r="U45" s="28"/>
      <c r="V45" s="28"/>
      <c r="W45" s="28"/>
      <c r="X45" s="23"/>
      <c r="Y45" s="41"/>
      <c r="Z45" s="41"/>
      <c r="AA45" s="40"/>
      <c r="AB45" s="28"/>
      <c r="AC45" s="28"/>
      <c r="AD45" s="28"/>
      <c r="AE45" s="28"/>
      <c r="AF45" s="28"/>
      <c r="AG45" s="24"/>
      <c r="AH45" s="41"/>
      <c r="AI45" s="41"/>
      <c r="AJ45" s="42"/>
      <c r="AK45" s="43"/>
      <c r="AL45" s="43"/>
      <c r="AM45" s="43"/>
      <c r="AN45" s="43"/>
      <c r="AO45" s="43"/>
      <c r="AP45" s="43"/>
      <c r="AQ45" s="44"/>
      <c r="AR45" s="44" t="str">
        <f t="shared" si="0"/>
        <v/>
      </c>
    </row>
    <row r="46" spans="1:44" ht="12.75">
      <c r="A46" s="38"/>
      <c r="B46" s="23"/>
      <c r="C46" s="68"/>
      <c r="D46" s="21"/>
      <c r="E46" s="28"/>
      <c r="F46" s="22"/>
      <c r="G46" s="71"/>
      <c r="H46" s="77"/>
      <c r="I46" s="75"/>
      <c r="J46" s="39"/>
      <c r="K46" s="19"/>
      <c r="L46" s="20"/>
      <c r="M46" s="20"/>
      <c r="N46" s="20"/>
      <c r="O46" s="20"/>
      <c r="P46" s="80"/>
      <c r="Q46" s="29"/>
      <c r="R46" s="82"/>
      <c r="S46" s="28"/>
      <c r="T46" s="28"/>
      <c r="U46" s="28"/>
      <c r="V46" s="28"/>
      <c r="W46" s="28"/>
      <c r="X46" s="23"/>
      <c r="Y46" s="41"/>
      <c r="Z46" s="41"/>
      <c r="AA46" s="40"/>
      <c r="AB46" s="28"/>
      <c r="AC46" s="28"/>
      <c r="AD46" s="28"/>
      <c r="AE46" s="28"/>
      <c r="AF46" s="28"/>
      <c r="AG46" s="24"/>
      <c r="AH46" s="41"/>
      <c r="AI46" s="41"/>
      <c r="AJ46" s="42"/>
      <c r="AK46" s="43"/>
      <c r="AL46" s="43"/>
      <c r="AM46" s="43"/>
      <c r="AN46" s="43"/>
      <c r="AO46" s="43"/>
      <c r="AP46" s="43"/>
      <c r="AQ46" s="44"/>
      <c r="AR46" s="44" t="str">
        <f t="shared" si="0"/>
        <v/>
      </c>
    </row>
    <row r="47" spans="1:44" ht="12.75">
      <c r="A47" s="38"/>
      <c r="B47" s="23"/>
      <c r="C47" s="68"/>
      <c r="D47" s="21"/>
      <c r="E47" s="28"/>
      <c r="F47" s="22"/>
      <c r="G47" s="71"/>
      <c r="H47" s="77"/>
      <c r="I47" s="75"/>
      <c r="J47" s="39"/>
      <c r="K47" s="19"/>
      <c r="L47" s="20"/>
      <c r="M47" s="20"/>
      <c r="N47" s="20"/>
      <c r="O47" s="20"/>
      <c r="P47" s="80"/>
      <c r="Q47" s="29"/>
      <c r="R47" s="82"/>
      <c r="S47" s="28"/>
      <c r="T47" s="28"/>
      <c r="U47" s="28"/>
      <c r="V47" s="28"/>
      <c r="W47" s="28"/>
      <c r="X47" s="23"/>
      <c r="Y47" s="41"/>
      <c r="Z47" s="41"/>
      <c r="AA47" s="40"/>
      <c r="AB47" s="28"/>
      <c r="AC47" s="28"/>
      <c r="AD47" s="28"/>
      <c r="AE47" s="28"/>
      <c r="AF47" s="28"/>
      <c r="AG47" s="24"/>
      <c r="AH47" s="41"/>
      <c r="AI47" s="41"/>
      <c r="AJ47" s="42"/>
      <c r="AK47" s="43"/>
      <c r="AL47" s="43"/>
      <c r="AM47" s="43"/>
      <c r="AN47" s="43"/>
      <c r="AO47" s="43"/>
      <c r="AP47" s="43"/>
      <c r="AQ47" s="44"/>
      <c r="AR47" s="44" t="str">
        <f t="shared" si="0"/>
        <v/>
      </c>
    </row>
    <row r="48" spans="1:44" ht="12.75">
      <c r="A48" s="38"/>
      <c r="B48" s="23"/>
      <c r="C48" s="68"/>
      <c r="D48" s="21"/>
      <c r="E48" s="28"/>
      <c r="F48" s="22"/>
      <c r="G48" s="71"/>
      <c r="H48" s="77"/>
      <c r="I48" s="75"/>
      <c r="J48" s="39"/>
      <c r="K48" s="19"/>
      <c r="L48" s="20"/>
      <c r="M48" s="20"/>
      <c r="N48" s="20"/>
      <c r="O48" s="20"/>
      <c r="P48" s="80"/>
      <c r="Q48" s="29"/>
      <c r="R48" s="82"/>
      <c r="S48" s="28"/>
      <c r="T48" s="28"/>
      <c r="U48" s="28"/>
      <c r="V48" s="28"/>
      <c r="W48" s="28"/>
      <c r="X48" s="23"/>
      <c r="Y48" s="41"/>
      <c r="Z48" s="41"/>
      <c r="AA48" s="40"/>
      <c r="AB48" s="28"/>
      <c r="AC48" s="28"/>
      <c r="AD48" s="28"/>
      <c r="AE48" s="28"/>
      <c r="AF48" s="28"/>
      <c r="AG48" s="24"/>
      <c r="AH48" s="41"/>
      <c r="AI48" s="41"/>
      <c r="AJ48" s="42"/>
      <c r="AK48" s="43"/>
      <c r="AL48" s="43"/>
      <c r="AM48" s="43"/>
      <c r="AN48" s="43"/>
      <c r="AO48" s="43"/>
      <c r="AP48" s="43"/>
      <c r="AQ48" s="44"/>
      <c r="AR48" s="44" t="str">
        <f t="shared" si="0"/>
        <v/>
      </c>
    </row>
    <row r="49" spans="1:44" ht="12.75">
      <c r="A49" s="38"/>
      <c r="B49" s="23"/>
      <c r="C49" s="68"/>
      <c r="D49" s="21"/>
      <c r="E49" s="28"/>
      <c r="F49" s="22"/>
      <c r="G49" s="71"/>
      <c r="H49" s="77"/>
      <c r="I49" s="75"/>
      <c r="J49" s="39"/>
      <c r="K49" s="19"/>
      <c r="L49" s="20"/>
      <c r="M49" s="20"/>
      <c r="N49" s="20"/>
      <c r="O49" s="20"/>
      <c r="P49" s="80"/>
      <c r="Q49" s="29"/>
      <c r="R49" s="82"/>
      <c r="S49" s="28"/>
      <c r="T49" s="28"/>
      <c r="U49" s="28"/>
      <c r="V49" s="28"/>
      <c r="W49" s="28"/>
      <c r="X49" s="23"/>
      <c r="Y49" s="41"/>
      <c r="Z49" s="41"/>
      <c r="AA49" s="40"/>
      <c r="AB49" s="39"/>
      <c r="AC49" s="39"/>
      <c r="AD49" s="39"/>
      <c r="AE49" s="39"/>
      <c r="AF49" s="39"/>
      <c r="AG49" s="24"/>
      <c r="AH49" s="41"/>
      <c r="AI49" s="41"/>
      <c r="AJ49" s="42"/>
      <c r="AK49" s="43"/>
      <c r="AL49" s="43"/>
      <c r="AM49" s="43"/>
      <c r="AN49" s="43"/>
      <c r="AO49" s="43"/>
      <c r="AP49" s="43"/>
      <c r="AQ49" s="44"/>
      <c r="AR49" s="44" t="str">
        <f t="shared" si="0"/>
        <v/>
      </c>
    </row>
    <row r="50" spans="1:44" ht="12.75">
      <c r="A50" s="38"/>
      <c r="B50" s="23"/>
      <c r="C50" s="68"/>
      <c r="D50" s="21"/>
      <c r="E50" s="28"/>
      <c r="F50" s="22"/>
      <c r="G50" s="71"/>
      <c r="H50" s="77"/>
      <c r="I50" s="75"/>
      <c r="J50" s="39"/>
      <c r="K50" s="19"/>
      <c r="L50" s="20"/>
      <c r="M50" s="20"/>
      <c r="N50" s="20"/>
      <c r="O50" s="20"/>
      <c r="P50" s="80"/>
      <c r="Q50" s="29"/>
      <c r="R50" s="82"/>
      <c r="S50" s="28"/>
      <c r="T50" s="28"/>
      <c r="U50" s="28"/>
      <c r="V50" s="28"/>
      <c r="W50" s="2"/>
      <c r="X50" s="23"/>
      <c r="Y50" s="41"/>
      <c r="Z50" s="41"/>
      <c r="AA50" s="40"/>
      <c r="AB50" s="28"/>
      <c r="AC50" s="28"/>
      <c r="AD50" s="28"/>
      <c r="AE50" s="28"/>
      <c r="AF50" s="83"/>
      <c r="AG50" s="24"/>
      <c r="AH50" s="41"/>
      <c r="AI50" s="41"/>
      <c r="AJ50" s="42"/>
      <c r="AK50" s="43"/>
      <c r="AL50" s="43"/>
      <c r="AM50" s="43"/>
      <c r="AN50" s="43"/>
      <c r="AO50" s="43"/>
      <c r="AP50" s="43"/>
      <c r="AQ50" s="44"/>
      <c r="AR50" s="44" t="str">
        <f t="shared" si="0"/>
        <v/>
      </c>
    </row>
    <row r="51" spans="1:44" ht="12.75">
      <c r="A51" s="38"/>
      <c r="B51" s="39"/>
      <c r="C51" s="68"/>
      <c r="D51" s="65"/>
      <c r="E51" s="54"/>
      <c r="F51" s="55"/>
      <c r="G51" s="72"/>
      <c r="H51" s="77"/>
      <c r="I51" s="75"/>
      <c r="J51" s="39"/>
      <c r="K51" s="19"/>
      <c r="L51" s="20"/>
      <c r="M51" s="20"/>
      <c r="N51" s="20"/>
      <c r="O51" s="20"/>
      <c r="P51" s="80"/>
      <c r="Q51" s="29"/>
      <c r="R51" s="82"/>
      <c r="S51" s="57"/>
      <c r="T51" s="57"/>
      <c r="U51" s="57"/>
      <c r="V51" s="57"/>
      <c r="W51" s="57"/>
      <c r="X51" s="57"/>
      <c r="Y51" s="41"/>
      <c r="Z51" s="41"/>
      <c r="AA51" s="40"/>
      <c r="AB51" s="28"/>
      <c r="AC51" s="28"/>
      <c r="AD51" s="28"/>
      <c r="AE51" s="28"/>
      <c r="AF51" s="28"/>
      <c r="AG51" s="39"/>
      <c r="AH51" s="41"/>
      <c r="AI51" s="41"/>
      <c r="AJ51" s="42"/>
      <c r="AK51" s="43"/>
      <c r="AL51" s="43"/>
      <c r="AM51" s="43"/>
      <c r="AN51" s="43"/>
      <c r="AO51" s="43"/>
      <c r="AP51" s="43"/>
      <c r="AQ51" s="44"/>
      <c r="AR51" s="44" t="str">
        <f t="shared" si="0"/>
        <v/>
      </c>
    </row>
    <row r="52" spans="1:44" ht="12.75">
      <c r="A52" s="38"/>
      <c r="B52" s="23"/>
      <c r="C52" s="68"/>
      <c r="D52" s="21"/>
      <c r="E52" s="28"/>
      <c r="F52" s="22"/>
      <c r="G52" s="71"/>
      <c r="H52" s="77"/>
      <c r="I52" s="75"/>
      <c r="J52" s="39"/>
      <c r="K52" s="19"/>
      <c r="L52" s="20"/>
      <c r="M52" s="20"/>
      <c r="N52" s="20"/>
      <c r="O52" s="20"/>
      <c r="P52" s="80"/>
      <c r="Q52" s="29"/>
      <c r="R52" s="82"/>
      <c r="S52" s="28"/>
      <c r="T52" s="28"/>
      <c r="U52" s="28"/>
      <c r="V52" s="28"/>
      <c r="W52" s="28"/>
      <c r="X52" s="23"/>
      <c r="Y52" s="41"/>
      <c r="Z52" s="41"/>
      <c r="AA52" s="40"/>
      <c r="AB52" s="28"/>
      <c r="AC52" s="28"/>
      <c r="AD52" s="28"/>
      <c r="AE52" s="28"/>
      <c r="AF52" s="28"/>
      <c r="AG52" s="24"/>
      <c r="AH52" s="41"/>
      <c r="AI52" s="41"/>
      <c r="AJ52" s="42"/>
      <c r="AK52" s="43"/>
      <c r="AL52" s="43"/>
      <c r="AM52" s="43"/>
      <c r="AN52" s="43"/>
      <c r="AO52" s="43"/>
      <c r="AP52" s="43"/>
      <c r="AQ52" s="44"/>
      <c r="AR52" s="44"/>
    </row>
    <row r="53" spans="1:44" ht="12.75">
      <c r="A53" s="38"/>
      <c r="B53" s="23"/>
      <c r="C53" s="68"/>
      <c r="D53" s="21"/>
      <c r="E53" s="28"/>
      <c r="F53" s="22"/>
      <c r="G53" s="71"/>
      <c r="H53" s="77"/>
      <c r="I53" s="75"/>
      <c r="J53" s="39"/>
      <c r="K53" s="19"/>
      <c r="L53" s="20"/>
      <c r="M53" s="20"/>
      <c r="N53" s="20"/>
      <c r="O53" s="20"/>
      <c r="P53" s="80"/>
      <c r="Q53" s="29"/>
      <c r="R53" s="82"/>
      <c r="S53" s="28"/>
      <c r="T53" s="28"/>
      <c r="U53" s="28"/>
      <c r="V53" s="28"/>
      <c r="W53" s="28"/>
      <c r="X53" s="23"/>
      <c r="Y53" s="41"/>
      <c r="Z53" s="41"/>
      <c r="AA53" s="40"/>
      <c r="AB53" s="39"/>
      <c r="AC53" s="39"/>
      <c r="AD53" s="39"/>
      <c r="AE53" s="39"/>
      <c r="AF53" s="39"/>
      <c r="AG53" s="24"/>
      <c r="AH53" s="41"/>
      <c r="AI53" s="41"/>
      <c r="AJ53" s="42"/>
      <c r="AK53" s="43"/>
      <c r="AL53" s="43"/>
      <c r="AM53" s="43"/>
      <c r="AN53" s="43"/>
      <c r="AO53" s="43"/>
      <c r="AP53" s="43"/>
      <c r="AQ53" s="44"/>
      <c r="AR53" s="44"/>
    </row>
    <row r="54" spans="1:44" ht="12.75">
      <c r="A54" s="38"/>
      <c r="B54" s="23"/>
      <c r="C54" s="68"/>
      <c r="D54" s="21"/>
      <c r="E54" s="28"/>
      <c r="F54" s="22"/>
      <c r="G54" s="71"/>
      <c r="H54" s="77"/>
      <c r="I54" s="75"/>
      <c r="J54" s="39"/>
      <c r="K54" s="19"/>
      <c r="L54" s="20"/>
      <c r="M54" s="20"/>
      <c r="N54" s="20"/>
      <c r="O54" s="20"/>
      <c r="P54" s="80"/>
      <c r="Q54" s="29"/>
      <c r="R54" s="82"/>
      <c r="S54" s="28"/>
      <c r="T54" s="28"/>
      <c r="U54" s="28"/>
      <c r="V54" s="28"/>
      <c r="W54" s="28"/>
      <c r="X54" s="23"/>
      <c r="Y54" s="41"/>
      <c r="Z54" s="41"/>
      <c r="AA54" s="40"/>
      <c r="AB54" s="39"/>
      <c r="AC54" s="39"/>
      <c r="AD54" s="39"/>
      <c r="AE54" s="39"/>
      <c r="AF54" s="39"/>
      <c r="AG54" s="24"/>
      <c r="AH54" s="41"/>
      <c r="AI54" s="41"/>
      <c r="AJ54" s="42"/>
      <c r="AK54" s="43"/>
      <c r="AL54" s="43"/>
      <c r="AM54" s="43"/>
      <c r="AN54" s="43"/>
      <c r="AO54" s="43"/>
      <c r="AP54" s="43"/>
      <c r="AQ54" s="44"/>
      <c r="AR54" s="44"/>
    </row>
  </sheetData>
  <mergeCells count="7">
    <mergeCell ref="AJ10:AR10"/>
    <mergeCell ref="AS10:AT10"/>
    <mergeCell ref="AS11:AT11"/>
    <mergeCell ref="I10:J10"/>
    <mergeCell ref="K10:Q10"/>
    <mergeCell ref="R10:Z10"/>
    <mergeCell ref="AA10:AI10"/>
  </mergeCells>
  <phoneticPr fontId="3" type="noConversion"/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Q54"/>
  <sheetViews>
    <sheetView workbookViewId="0">
      <selection sqref="A1:XFD1048576"/>
    </sheetView>
  </sheetViews>
  <sheetFormatPr baseColWidth="10" defaultRowHeight="12.75"/>
  <cols>
    <col min="1" max="1" width="14" style="84" bestFit="1" customWidth="1"/>
    <col min="2" max="2" width="8.140625" style="84" bestFit="1" customWidth="1"/>
    <col min="3" max="3" width="9.5703125" style="84" customWidth="1"/>
    <col min="4" max="4" width="7.28515625" style="84" bestFit="1" customWidth="1"/>
    <col min="5" max="5" width="10.140625" style="84" bestFit="1" customWidth="1"/>
    <col min="6" max="6" width="8.7109375" style="84" customWidth="1"/>
    <col min="7" max="7" width="6.5703125" style="84" bestFit="1" customWidth="1"/>
    <col min="8" max="8" width="5.7109375" style="84" customWidth="1"/>
    <col min="9" max="9" width="4.7109375" style="84" bestFit="1" customWidth="1"/>
    <col min="10" max="11" width="4.7109375" style="84" customWidth="1"/>
    <col min="12" max="12" width="5.7109375" style="84" hidden="1" customWidth="1"/>
    <col min="13" max="13" width="9.85546875" style="84" customWidth="1"/>
    <col min="14" max="14" width="7.42578125" style="84" hidden="1" customWidth="1"/>
    <col min="15" max="15" width="9.42578125" style="84" bestFit="1" customWidth="1"/>
    <col min="16" max="16384" width="11.425781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4.25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4.25">
      <c r="A7" s="105" t="s">
        <v>51</v>
      </c>
      <c r="B7" s="105" t="s">
        <v>52</v>
      </c>
      <c r="C7" s="105" t="s">
        <v>53</v>
      </c>
      <c r="D7" s="105" t="s">
        <v>54</v>
      </c>
      <c r="E7" s="105" t="s">
        <v>55</v>
      </c>
      <c r="F7" s="106" t="s">
        <v>89</v>
      </c>
      <c r="G7" s="105" t="s">
        <v>56</v>
      </c>
      <c r="H7" s="106" t="str">
        <f>IF(M4=0,"d","0.8*d")</f>
        <v>d</v>
      </c>
      <c r="I7" s="106" t="s">
        <v>90</v>
      </c>
      <c r="J7" s="106" t="s">
        <v>91</v>
      </c>
      <c r="K7" s="107" t="s">
        <v>57</v>
      </c>
      <c r="L7" s="108" t="s">
        <v>58</v>
      </c>
      <c r="M7" s="106" t="s">
        <v>58</v>
      </c>
      <c r="N7" s="109" t="s">
        <v>92</v>
      </c>
      <c r="O7" s="110" t="s">
        <v>59</v>
      </c>
      <c r="P7" s="111" t="s">
        <v>60</v>
      </c>
    </row>
    <row r="8" spans="1:17" ht="13.5" thickBot="1">
      <c r="A8" s="112" t="s">
        <v>61</v>
      </c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15" t="s">
        <v>57</v>
      </c>
    </row>
    <row r="9" spans="1:17" ht="13.5" thickBot="1">
      <c r="A9" s="105" t="s">
        <v>63</v>
      </c>
      <c r="B9" s="116">
        <f>Senlis_PLtraf!AJ5</f>
        <v>15</v>
      </c>
      <c r="C9" s="117">
        <v>100</v>
      </c>
      <c r="D9" s="118">
        <f>Senlis_PLtraf!AJ6*100</f>
        <v>1.3816829965302198</v>
      </c>
      <c r="E9" s="118">
        <f>Senlis_PLtraf!AJ7*100</f>
        <v>3.4284363177260939</v>
      </c>
      <c r="F9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85.188406242421166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B(10)</v>
      </c>
      <c r="H9" s="121">
        <f>K9*IF(M$4=0,1,0.8)</f>
        <v>10</v>
      </c>
      <c r="I9" s="122">
        <v>7.1</v>
      </c>
      <c r="J9" s="119">
        <f>I9*IF(M$4=0,1,1.25)</f>
        <v>7.1</v>
      </c>
      <c r="K9" s="121">
        <f>IF(OR(J9&lt;=5,J9&gt;7),ROUNDUP((J9/5),0)*5,7)</f>
        <v>10</v>
      </c>
      <c r="L9" s="119">
        <f>100*(1-TDIST((I9/E9-D9/E9)-TINV(0.05,B9-1)/SQRT(B9),B9-1,1)-TDIST((I9/E9+D9/E9)-TINV(0.05,B9-1)/SQRT(B9),B9-1,1))</f>
        <v>82.028202493134359</v>
      </c>
      <c r="M9" s="119">
        <f>100*(1-TDIST((H9/E9-D9/E9)-TINV(0.05,B9-1)/SQRT(B9),B9-1,1)-TDIST((H9/E9+D9/E9)-TINV(0.05,B9-1)/SQRT(B9),B9-1,1))</f>
        <v>95.731407657557071</v>
      </c>
      <c r="N9" s="123"/>
      <c r="O9" s="124"/>
    </row>
    <row r="10" spans="1:17">
      <c r="A10" s="105" t="s">
        <v>64</v>
      </c>
      <c r="B10" s="116">
        <f>Senlis_PLtraf!AM5</f>
        <v>15</v>
      </c>
      <c r="C10" s="117">
        <v>100</v>
      </c>
      <c r="D10" s="118">
        <f>Senlis_PLtraf!AM6*100</f>
        <v>2.2735315184382037</v>
      </c>
      <c r="E10" s="118">
        <f>Senlis_PLtraf!AM7*100</f>
        <v>3.9770193607518891</v>
      </c>
      <c r="F10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85.188406242421166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B+(7)</v>
      </c>
      <c r="H10" s="93">
        <f>IF(K10&lt;7,K10/0.7,IF(K10&lt;30,K10+3,K10*1.1))*IF(M$4=0,1,0.8)</f>
        <v>10</v>
      </c>
      <c r="I10" s="122">
        <v>10</v>
      </c>
      <c r="J10" s="119">
        <f>IF(I10&lt;10,0.7*I10*IF(M$4=0,1,1.25),I10*IF(M$4=0,1,1.25)-3)</f>
        <v>7</v>
      </c>
      <c r="K10" s="121">
        <f>IF(OR(J10&lt;=5,J10&gt;7),ROUNDUP((J10/5),0)*5,7)</f>
        <v>7</v>
      </c>
      <c r="L10" s="119">
        <f>100*(1-TDIST((I10/E10-D10/E10)-TINV(0.05,B10-1)/SQRT(B10),B10-1,1)-TDIST((I10/E10+D10/E10)-TINV(0.05,B10-1)/SQRT(B10),B10-1,1))</f>
        <v>89.477172336317906</v>
      </c>
      <c r="M10" s="119">
        <f>100*(1-TDIST(((H10-D10)/E10)*SQRT(B10/(B10+1)),B10-1,1)-TDIST(((H10+D10)/E10)*SQRT(B10/(B10+1)),B10-1,1))</f>
        <v>95.464941915550099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C(15)</v>
      </c>
    </row>
    <row r="11" spans="1:17">
      <c r="A11" s="105" t="s">
        <v>65</v>
      </c>
      <c r="B11" s="116">
        <f>Senlis_PLtraf!AK5</f>
        <v>30</v>
      </c>
      <c r="C11" s="117">
        <v>100</v>
      </c>
      <c r="D11" s="118">
        <f>Senlis_PLtraf!AK6*100</f>
        <v>0.60034897761168882</v>
      </c>
      <c r="E11" s="118">
        <f>Senlis_PLtraf!AK7*100</f>
        <v>7.4623056120782305</v>
      </c>
      <c r="F11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89.617661766219172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C(15)</v>
      </c>
      <c r="H11" s="121">
        <f>IF(K11&lt;10,K11*(85-K11)/50,IF(K11&lt;25,K11+5,6*K11/5))*IF(M$4=0,1,0.8)</f>
        <v>20</v>
      </c>
      <c r="I11" s="122">
        <v>15.1</v>
      </c>
      <c r="J11" s="119">
        <f>IF(I11&lt;15,I11*(I11*IF(M$4=0,1,1.25)+97)*IF(M$4=0,1,1.25)/168,I11*IF(M$4=0,1,1.25)-5)</f>
        <v>10.1</v>
      </c>
      <c r="K11" s="93">
        <f>IF(OR(J11&lt;=5,J11&gt;7),ROUNDUP((J11/5),0)*5,7)</f>
        <v>15</v>
      </c>
      <c r="L11" s="119">
        <f>100*(1-TDIST((I11/E11-D11/E11)-TINV(0.05,B11-1)/SQRT(B11),B11-1,1)-TDIST((I11/E11+D11/E11)-TINV(0.05,B11-1)/SQRT(B11),B11-1,1))</f>
        <v>88.924616302723138</v>
      </c>
      <c r="M11" s="119">
        <f t="shared" ref="M11:M12" si="0">100*(1-TDIST((H11/E11-D11/E11)-TINV(0.05,B11-1)/SQRT(B11),B11-1,1)-TDIST((H11/E11+D11/E11)-TINV(0.05,B11-1)/SQRT(B11),B11-1,1))</f>
        <v>97.117818760502459</v>
      </c>
      <c r="N11" s="127">
        <v>96.943229675292969</v>
      </c>
      <c r="O11" s="128"/>
    </row>
    <row r="12" spans="1:17">
      <c r="A12" s="105" t="s">
        <v>66</v>
      </c>
      <c r="B12" s="116">
        <f>Senlis_PLtraf!AL5</f>
        <v>45</v>
      </c>
      <c r="C12" s="117">
        <v>100</v>
      </c>
      <c r="D12" s="118">
        <f>Senlis_PLtraf!AL6*100</f>
        <v>2.7311254577022708</v>
      </c>
      <c r="E12" s="118">
        <f>Senlis_PLtraf!AL7*100</f>
        <v>5.8304098734190548</v>
      </c>
      <c r="F12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91.078754988469029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B(10)</v>
      </c>
      <c r="H12" s="121">
        <f>IF(K12&lt;10,2*K12,IF(K12&lt;25,K12+10,6*K12/5+5))*IF(M$4=0,1,0.8)</f>
        <v>20</v>
      </c>
      <c r="I12" s="122">
        <v>14.1</v>
      </c>
      <c r="J12" s="119">
        <f>IF(I12&lt;20,I12*IF(M$4=0,1,1.25)/2,(I12*IF(M$4=0,1,1.25)-10))</f>
        <v>7.05</v>
      </c>
      <c r="K12" s="121">
        <f>IF(OR(J12&lt;=5,J12&gt;7),ROUNDUP((J12/5),0)*5,7)</f>
        <v>10</v>
      </c>
      <c r="L12" s="119">
        <f>100*(1-TDIST((I12/E12-D12/E12)-TINV(0.05,B12-1)/SQRT(B12),B12-1,1)-TDIST((I12/E12+D12/E12)-TINV(0.05,B12-1)/SQRT(B12),B12-1,1))</f>
        <v>94.037280961606413</v>
      </c>
      <c r="M12" s="119">
        <f t="shared" si="0"/>
        <v>99.418564293318795</v>
      </c>
      <c r="N12" s="125">
        <v>95.904441833496094</v>
      </c>
      <c r="O12" s="129">
        <f>MAX(K9:K12)</f>
        <v>15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6">
      <c r="A17" s="84" t="s">
        <v>75</v>
      </c>
      <c r="E17" s="134" t="s">
        <v>76</v>
      </c>
      <c r="F17" s="135" t="s">
        <v>77</v>
      </c>
    </row>
    <row r="18" spans="1:6" ht="15.75">
      <c r="A18" s="84" t="s">
        <v>78</v>
      </c>
      <c r="E18" s="134" t="s">
        <v>79</v>
      </c>
      <c r="F18" s="135" t="s">
        <v>93</v>
      </c>
    </row>
    <row r="19" spans="1:6">
      <c r="A19" s="84" t="s">
        <v>80</v>
      </c>
      <c r="E19" s="134" t="s">
        <v>81</v>
      </c>
      <c r="F19" s="135" t="s">
        <v>82</v>
      </c>
    </row>
    <row r="20" spans="1:6">
      <c r="A20" s="84" t="s">
        <v>83</v>
      </c>
      <c r="F20" s="135" t="s">
        <v>84</v>
      </c>
    </row>
    <row r="21" spans="1:6">
      <c r="F21" s="87" t="s">
        <v>85</v>
      </c>
    </row>
    <row r="22" spans="1:6" ht="14.25">
      <c r="F22" s="87" t="s">
        <v>94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scenarios current="0">
    <scenario name="accur1" count="4" user="Bernard Jacob" comment="Créé par Bernard Jacob le 11/28/98">
      <inputCells r="I11" val="22.4272510621533" numFmtId="166"/>
      <inputCells r="I12" val="18.4903608949355" numFmtId="166"/>
      <inputCells r="I10" val="16.015615153721" numFmtId="166"/>
      <inputCells r="I9" val="19.6284274872054" numFmtId="166"/>
    </scenario>
  </scenarios>
  <phoneticPr fontId="1" type="noConversion"/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T54"/>
  <sheetViews>
    <sheetView workbookViewId="0">
      <selection activeCell="P19" sqref="P19"/>
    </sheetView>
  </sheetViews>
  <sheetFormatPr baseColWidth="10" defaultRowHeight="12.75"/>
  <cols>
    <col min="1" max="1" width="14" style="84" bestFit="1" customWidth="1"/>
    <col min="2" max="2" width="8.140625" style="84" bestFit="1" customWidth="1"/>
    <col min="3" max="3" width="9.5703125" style="84" customWidth="1"/>
    <col min="4" max="4" width="7.28515625" style="84" bestFit="1" customWidth="1"/>
    <col min="5" max="5" width="10.140625" style="84" bestFit="1" customWidth="1"/>
    <col min="6" max="6" width="8.7109375" style="84" customWidth="1"/>
    <col min="7" max="7" width="6.5703125" style="84" bestFit="1" customWidth="1"/>
    <col min="8" max="8" width="5.7109375" style="84" customWidth="1"/>
    <col min="9" max="9" width="4.7109375" style="84" bestFit="1" customWidth="1"/>
    <col min="10" max="11" width="4.7109375" style="84" customWidth="1"/>
    <col min="12" max="12" width="5.7109375" style="84" hidden="1" customWidth="1"/>
    <col min="13" max="13" width="7.140625" style="84" customWidth="1"/>
    <col min="14" max="14" width="7.42578125" style="84" hidden="1" customWidth="1"/>
    <col min="15" max="15" width="9.42578125" style="84" bestFit="1" customWidth="1"/>
    <col min="16" max="16384" width="11.425781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4.25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4.25">
      <c r="A7" s="105" t="s">
        <v>51</v>
      </c>
      <c r="B7" s="105" t="s">
        <v>52</v>
      </c>
      <c r="C7" s="105" t="s">
        <v>53</v>
      </c>
      <c r="D7" s="105" t="s">
        <v>54</v>
      </c>
      <c r="E7" s="105" t="s">
        <v>55</v>
      </c>
      <c r="F7" s="106" t="s">
        <v>89</v>
      </c>
      <c r="G7" s="105" t="s">
        <v>56</v>
      </c>
      <c r="H7" s="106" t="str">
        <f>IF(M4=0,"d","0.8*d")</f>
        <v>d</v>
      </c>
      <c r="I7" s="106" t="s">
        <v>90</v>
      </c>
      <c r="J7" s="106" t="s">
        <v>91</v>
      </c>
      <c r="K7" s="107" t="s">
        <v>57</v>
      </c>
      <c r="L7" s="108" t="s">
        <v>58</v>
      </c>
      <c r="M7" s="106" t="s">
        <v>58</v>
      </c>
      <c r="N7" s="109" t="s">
        <v>92</v>
      </c>
      <c r="O7" s="110" t="s">
        <v>59</v>
      </c>
      <c r="P7" s="111" t="s">
        <v>60</v>
      </c>
    </row>
    <row r="8" spans="1:17" ht="13.5" thickBot="1">
      <c r="A8" s="112" t="s">
        <v>61</v>
      </c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15" t="s">
        <v>57</v>
      </c>
    </row>
    <row r="9" spans="1:17" ht="13.5" thickBot="1">
      <c r="A9" s="105" t="s">
        <v>63</v>
      </c>
      <c r="B9" s="116"/>
      <c r="C9" s="117"/>
      <c r="D9" s="118"/>
      <c r="E9" s="118"/>
      <c r="F9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100*(1-TDIST(IF($B$5="r1",2.675/IF($D$5="III",1.1,IF($D$5="II",1.05,1)),IF($B$5="r2",2.36/IF($D$5="III",1.1,IF($D$5="II",1.05,1)),IF($B$5="RR1",2.155/IF($D$5="III",1.1,IF($D$5="II",1.05,1)),IF($B$5="RR2",2/IF($D$5="III",1.1,IF($D$5="II",1.05,1)),0))))*SQRT(B9/(B9+1)),B9-1,2))</f>
        <v>#NUM!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C(15)</v>
      </c>
      <c r="H9" s="121">
        <f>K9*IF(M$4=0,1,0.8)</f>
        <v>15</v>
      </c>
      <c r="I9" s="122">
        <v>13.001896482635313</v>
      </c>
      <c r="J9" s="119">
        <f>I9*IF(M$4=0,1,1.25)</f>
        <v>13.001896482635313</v>
      </c>
      <c r="K9" s="121">
        <f>IF(OR(J9&lt;=5,J9&gt;7),ROUNDUP((J9/5),0)*5,7)</f>
        <v>15</v>
      </c>
      <c r="L9" s="119" t="e">
        <f>100*(1-TDIST(((I9-D9)/E9)*SQRT(B9/(B9+1)),B9-1,1)-TDIST(((I9+D9)/E9)*SQRT(B9/(B9+1)),B9-1,1))</f>
        <v>#DIV/0!</v>
      </c>
      <c r="M9" s="119" t="e">
        <f>100*(1-TDIST(((H9-D9)/E9)*SQRT(B9/(B9+1)),B9-1,1)-TDIST(((H9+D9)/E9)*SQRT(B9/(B9+1)),B9-1,1))</f>
        <v>#DIV/0!</v>
      </c>
      <c r="N9" s="123"/>
      <c r="O9" s="124"/>
    </row>
    <row r="10" spans="1:17">
      <c r="A10" s="105" t="s">
        <v>64</v>
      </c>
      <c r="B10" s="116"/>
      <c r="C10" s="117"/>
      <c r="D10" s="118"/>
      <c r="E10" s="118"/>
      <c r="F10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100*(1-TDIST(IF($B$5="r1",2.675/IF($D$5="III",1.1,IF($D$5="II",1.05,1)),IF($B$5="r2",2.36/IF($D$5="III",1.1,IF($D$5="II",1.05,1)),IF($B$5="RR1",2.155/IF($D$5="III",1.1,IF($D$5="II",1.05,1)),IF($B$5="RR2",2/IF($D$5="III",1.1,IF($D$5="II",1.05,1)),0))))*SQRT(B10/(B10+1)),B10-1,2))</f>
        <v>#NUM!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C(15)</v>
      </c>
      <c r="H10" s="93">
        <f>IF(K10&lt;7,K10/0.7,IF(K10&lt;30,K10+3,K10*1.1))*IF(M$4=0,1,0.8)</f>
        <v>18</v>
      </c>
      <c r="I10" s="122">
        <v>16.798173752804345</v>
      </c>
      <c r="J10" s="119">
        <f>IF(I10&lt;10,0.7*I10*IF(M$4=0,1,1.25),I10*IF(M$4=0,1,1.25)-3)</f>
        <v>13.798173752804345</v>
      </c>
      <c r="K10" s="121">
        <f>IF(OR(J10&lt;=5,J10&gt;7),ROUNDUP((J10/5),0)*5,7)</f>
        <v>15</v>
      </c>
      <c r="L10" s="119" t="e">
        <f>100*(1-TDIST(((I10-D10)/E10)*SQRT(B10/(B10+1)),B10-1,1)-TDIST(((I10+D10)/E10)*SQRT(B10/(B10+1)),B10-1,1))</f>
        <v>#DIV/0!</v>
      </c>
      <c r="M10" s="119" t="e">
        <f>100*(1-TDIST(((H10-D10)/E10)*SQRT(B10/(B10+1)),B10-1,1)-TDIST(((H10+D10)/E10)*SQRT(B10/(B10+1)),B10-1,1))</f>
        <v>#DIV/0!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D+(20)</v>
      </c>
    </row>
    <row r="11" spans="1:17">
      <c r="A11" s="105" t="s">
        <v>65</v>
      </c>
      <c r="B11" s="116"/>
      <c r="C11" s="117"/>
      <c r="D11" s="118"/>
      <c r="E11" s="118"/>
      <c r="F11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100*(1-TDIST(IF($B$5="r1",2.675/IF($D$5="III",1.1,IF($D$5="II",1.05,1)),IF($B$5="r2",2.36/IF($D$5="III",1.1,IF($D$5="II",1.05,1)),IF($B$5="RR1",2.155/IF($D$5="III",1.1,IF($D$5="II",1.05,1)),IF($B$5="RR2",2/IF($D$5="III",1.1,IF($D$5="II",1.05,1)),0))))*SQRT(B11/(B11+1)),B11-1,2))</f>
        <v>#NUM!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D+(20)</v>
      </c>
      <c r="H11" s="121">
        <f>IF(K11&lt;10,K11*(85-K11)/50,IF(K11&lt;25,K11+5,6*K11/5))*IF(M$4=0,1,0.8)</f>
        <v>25</v>
      </c>
      <c r="I11" s="122">
        <v>22.461177711460753</v>
      </c>
      <c r="J11" s="119">
        <f>IF(I11&lt;15,I11*(I11*IF(M$4=0,1,1.25)+97)*IF(M$4=0,1,1.25)/168,I11*IF(M$4=0,1,1.25)-5)</f>
        <v>17.461177711460753</v>
      </c>
      <c r="K11" s="93">
        <f>IF(OR(J11&lt;=5,J11&gt;7),ROUNDUP((J11/5),0)*5,7)</f>
        <v>20</v>
      </c>
      <c r="L11" s="119" t="e">
        <f>100*(1-TDIST(((I11-D11)/E11)*SQRT(B11/(B11+1)),B11-1,1)-TDIST(((I11+D11)/E11)*SQRT(B11/(B11+1)),B11-1,1))</f>
        <v>#DIV/0!</v>
      </c>
      <c r="M11" s="119" t="e">
        <f>100*(1-TDIST(((H11-D11)/E11)*SQRT(B11/(B11+1)),B11-1,1)-TDIST(((H11+D11)/E11)*SQRT(B11/(B11+1)),B11-1,1))</f>
        <v>#DIV/0!</v>
      </c>
      <c r="N11" s="127">
        <v>96.943229675292969</v>
      </c>
      <c r="O11" s="128"/>
    </row>
    <row r="12" spans="1:17">
      <c r="A12" s="105" t="s">
        <v>66</v>
      </c>
      <c r="B12" s="116"/>
      <c r="C12" s="117"/>
      <c r="D12" s="118"/>
      <c r="E12" s="118"/>
      <c r="F12" s="119" t="e">
        <f>100*(1-TDIST(IF($B$5="r1",2.675/IF($D$5="III",1.1,IF($D$5="II",1.05,1)),IF($B$5="r2",2.36/IF($D$5="III",1.1,IF($D$5="II",1.05,1)),IF($B$5="RR1",2.155/IF($D$5="III",1.1,IF($D$5="II",1.05,1)),IF($B$5="RR2",2/IF($D$5="III",1.1,IF($D$5="II",1.05,1)),0))))*SQRT(B12/(B12+1)),B12-1,2))</f>
        <v>#NUM!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D+(20)</v>
      </c>
      <c r="H12" s="121">
        <f>IF(K12&lt;10,2*K12,IF(K12&lt;25,K12+10,6*K12/5+5))*IF(M$4=0,1,0.8)</f>
        <v>30</v>
      </c>
      <c r="I12" s="122">
        <v>25.007043637314126</v>
      </c>
      <c r="J12" s="119">
        <f>IF(I12&lt;20,I12*IF(M$4=0,1,1.25)/2,(I12*IF(M$4=0,1,1.25)-10))</f>
        <v>15.007043637314126</v>
      </c>
      <c r="K12" s="121">
        <f>IF(OR(J12&lt;=5,J12&gt;7),ROUNDUP((J12/5),0)*5,7)</f>
        <v>20</v>
      </c>
      <c r="L12" s="119" t="e">
        <f>100*(1-TDIST(((I12-D12)/E12)*SQRT(B12/(B12+1)),B12-1,1)-TDIST(((I12+D12)/E12)*SQRT(B12/(B12+1)),B12-1,1))</f>
        <v>#DIV/0!</v>
      </c>
      <c r="M12" s="119" t="e">
        <f>100*(1-TDIST(((H12-D12)/E12)*SQRT(B12/(B12+1)),B12-1,1)-TDIST(((H12+D12)/E12)*SQRT(B12/(B12+1)),B12-1,1))</f>
        <v>#DIV/0!</v>
      </c>
      <c r="N12" s="125">
        <v>95.904441833496094</v>
      </c>
      <c r="O12" s="129">
        <f>MAX(K9:K12)</f>
        <v>20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20">
      <c r="A17" s="84" t="s">
        <v>75</v>
      </c>
      <c r="E17" s="134" t="s">
        <v>76</v>
      </c>
      <c r="F17" s="135" t="s">
        <v>77</v>
      </c>
    </row>
    <row r="18" spans="1:20" ht="15.75">
      <c r="A18" s="84" t="s">
        <v>78</v>
      </c>
      <c r="E18" s="134" t="s">
        <v>79</v>
      </c>
      <c r="F18" s="135" t="s">
        <v>93</v>
      </c>
    </row>
    <row r="19" spans="1:20">
      <c r="A19" s="84" t="s">
        <v>80</v>
      </c>
      <c r="E19" s="134" t="s">
        <v>81</v>
      </c>
      <c r="F19" s="135" t="s">
        <v>82</v>
      </c>
    </row>
    <row r="20" spans="1:20">
      <c r="A20" s="84" t="s">
        <v>83</v>
      </c>
      <c r="F20" s="135" t="s">
        <v>84</v>
      </c>
    </row>
    <row r="21" spans="1:20">
      <c r="F21" s="87" t="s">
        <v>85</v>
      </c>
    </row>
    <row r="22" spans="1:20" ht="14.25">
      <c r="F22" s="87" t="s">
        <v>94</v>
      </c>
    </row>
    <row r="29" spans="1:20">
      <c r="R29" s="84">
        <v>0</v>
      </c>
    </row>
    <row r="30" spans="1:20">
      <c r="R30" s="84">
        <v>1</v>
      </c>
      <c r="T30" s="84" t="s">
        <v>102</v>
      </c>
    </row>
    <row r="31" spans="1:20">
      <c r="R31" s="84">
        <f>TDIST(R29,R30,1)</f>
        <v>0.5</v>
      </c>
      <c r="T31" s="84" t="s">
        <v>101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scenarios current="0">
    <scenario name="accur1" count="4" user="Bernard Jacob" comment="Créé par Bernard Jacob le 11/28/98">
      <inputCells r="I11" val="22.4272510621533" numFmtId="166"/>
      <inputCells r="I12" val="18.4903608949355" numFmtId="166"/>
      <inputCells r="I10" val="16.015615153721" numFmtId="166"/>
      <inputCells r="I9" val="19.6284274872054" numFmtId="166"/>
    </scenario>
  </scenarios>
  <phoneticPr fontId="1" type="noConversion"/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4:L60"/>
  <sheetViews>
    <sheetView topLeftCell="A32" workbookViewId="0">
      <selection activeCell="H54" sqref="H54"/>
    </sheetView>
  </sheetViews>
  <sheetFormatPr baseColWidth="10" defaultRowHeight="12.75"/>
  <sheetData>
    <row r="4" spans="4:12">
      <c r="D4" t="s">
        <v>127</v>
      </c>
    </row>
    <row r="5" spans="4:12">
      <c r="D5" t="s">
        <v>4</v>
      </c>
      <c r="E5" t="s">
        <v>34</v>
      </c>
      <c r="F5" t="s">
        <v>35</v>
      </c>
      <c r="G5" t="s">
        <v>36</v>
      </c>
      <c r="H5" t="s">
        <v>37</v>
      </c>
      <c r="I5" t="s">
        <v>38</v>
      </c>
      <c r="J5" t="s">
        <v>39</v>
      </c>
      <c r="K5" t="s">
        <v>40</v>
      </c>
      <c r="L5" t="s">
        <v>41</v>
      </c>
    </row>
    <row r="6" spans="4:12">
      <c r="D6">
        <v>-5.7937427578215531E-3</v>
      </c>
      <c r="E6">
        <v>6.802721088435471E-3</v>
      </c>
      <c r="F6">
        <v>-5.777777777777781E-2</v>
      </c>
      <c r="G6">
        <v>1.2195121951219686E-2</v>
      </c>
      <c r="H6">
        <v>2.4691358024691492E-2</v>
      </c>
      <c r="I6">
        <v>6.0606060606061465E-3</v>
      </c>
      <c r="J6" t="s">
        <v>126</v>
      </c>
      <c r="K6">
        <v>1.4256619144603055E-2</v>
      </c>
      <c r="L6" t="s">
        <v>126</v>
      </c>
    </row>
    <row r="7" spans="4:12">
      <c r="D7">
        <v>-3.9702233250620209E-2</v>
      </c>
      <c r="E7">
        <v>-6.5359477124183937E-3</v>
      </c>
      <c r="F7">
        <v>-2.8368794326241162E-2</v>
      </c>
      <c r="G7">
        <v>-4.1322314049586778E-2</v>
      </c>
      <c r="H7">
        <v>-6.4516129032258118E-2</v>
      </c>
      <c r="I7">
        <v>-7.9365079365079361E-2</v>
      </c>
      <c r="J7" t="s">
        <v>126</v>
      </c>
      <c r="K7">
        <v>-6.1994609164420594E-2</v>
      </c>
      <c r="L7" t="s">
        <v>126</v>
      </c>
    </row>
    <row r="8" spans="4:12">
      <c r="D8">
        <v>-2.8184892897406989E-2</v>
      </c>
      <c r="E8">
        <v>-9.4594594594594614E-2</v>
      </c>
      <c r="F8">
        <v>-3.4482758620689689E-2</v>
      </c>
      <c r="G8">
        <v>5.9880239520958937E-3</v>
      </c>
      <c r="H8">
        <v>-1.1764705882352899E-2</v>
      </c>
      <c r="I8">
        <v>-1.1764705882352899E-2</v>
      </c>
      <c r="J8" t="s">
        <v>126</v>
      </c>
      <c r="K8">
        <v>-5.917159763313553E-3</v>
      </c>
      <c r="L8" t="s">
        <v>126</v>
      </c>
    </row>
    <row r="9" spans="4:12">
      <c r="D9">
        <v>5.7803468208092483E-3</v>
      </c>
      <c r="E9">
        <v>3.9473684210526411E-2</v>
      </c>
      <c r="F9">
        <v>-3.6437246963562694E-2</v>
      </c>
      <c r="G9">
        <v>1.2820512820512889E-2</v>
      </c>
      <c r="H9">
        <v>2.5974025974025997E-2</v>
      </c>
      <c r="I9">
        <v>1.2820512820512889E-2</v>
      </c>
      <c r="J9" t="s">
        <v>126</v>
      </c>
      <c r="K9">
        <v>1.7167381974249017E-2</v>
      </c>
      <c r="L9" t="s">
        <v>126</v>
      </c>
    </row>
    <row r="10" spans="4:12">
      <c r="D10">
        <v>-2.591792656587464E-2</v>
      </c>
      <c r="E10">
        <v>-3.4013605442176874E-2</v>
      </c>
      <c r="F10">
        <v>-9.5238095238095233E-2</v>
      </c>
      <c r="G10">
        <v>2.1505376344085943E-2</v>
      </c>
      <c r="H10">
        <v>-2.0618556701030855E-2</v>
      </c>
      <c r="I10">
        <v>5.2910052910053662E-3</v>
      </c>
      <c r="J10" t="s">
        <v>126</v>
      </c>
      <c r="K10">
        <v>1.75746924428825E-3</v>
      </c>
      <c r="L10" t="s">
        <v>126</v>
      </c>
    </row>
    <row r="11" spans="4:12">
      <c r="D11">
        <v>-7.1942446043166486E-3</v>
      </c>
      <c r="E11">
        <v>4.1095890410958881E-2</v>
      </c>
      <c r="F11">
        <v>-4.1958041958042057E-2</v>
      </c>
      <c r="G11">
        <v>-1.4705882352941124E-2</v>
      </c>
      <c r="H11">
        <v>1.5151515151515233E-2</v>
      </c>
      <c r="I11">
        <v>0</v>
      </c>
      <c r="J11" t="s">
        <v>126</v>
      </c>
      <c r="K11">
        <v>1.7675192431843289E-16</v>
      </c>
      <c r="L11" t="s">
        <v>126</v>
      </c>
    </row>
    <row r="12" spans="4:12">
      <c r="D12">
        <v>3.2036613272311346E-2</v>
      </c>
      <c r="E12">
        <v>3.5460992907801421E-2</v>
      </c>
      <c r="F12">
        <v>-7.5268817204301008E-2</v>
      </c>
      <c r="G12">
        <v>0.14482758620689665</v>
      </c>
      <c r="H12">
        <v>9.933774834437098E-2</v>
      </c>
      <c r="I12">
        <v>5.0632911392405104E-2</v>
      </c>
      <c r="J12" t="s">
        <v>126</v>
      </c>
      <c r="K12">
        <v>9.6916299559471328E-2</v>
      </c>
      <c r="L12" t="s">
        <v>126</v>
      </c>
    </row>
    <row r="13" spans="4:12">
      <c r="D13">
        <v>-1.4742014742014775E-2</v>
      </c>
      <c r="E13">
        <v>-1.5625000000000083E-2</v>
      </c>
      <c r="F13">
        <v>-2.4911032028469851E-2</v>
      </c>
      <c r="G13">
        <v>-2.1897810218978027E-2</v>
      </c>
      <c r="H13">
        <v>-7.4074074074073808E-3</v>
      </c>
      <c r="I13">
        <v>7.5187969924811757E-3</v>
      </c>
      <c r="J13" t="s">
        <v>126</v>
      </c>
      <c r="K13">
        <v>-7.4074074074073374E-3</v>
      </c>
      <c r="L13" t="s">
        <v>126</v>
      </c>
    </row>
    <row r="14" spans="4:12">
      <c r="D14">
        <v>2.4503311258278135E-2</v>
      </c>
      <c r="E14">
        <v>3.53658536585367E-2</v>
      </c>
      <c r="F14">
        <v>-5.0000000000000417E-3</v>
      </c>
      <c r="G14">
        <v>3.712574850299407E-2</v>
      </c>
      <c r="H14">
        <v>3.0952380952380926E-2</v>
      </c>
      <c r="I14">
        <v>3.712574850299407E-2</v>
      </c>
      <c r="J14" t="s">
        <v>126</v>
      </c>
      <c r="K14">
        <v>3.5059760956175259E-2</v>
      </c>
      <c r="L14" t="s">
        <v>126</v>
      </c>
    </row>
    <row r="15" spans="4:12">
      <c r="D15">
        <v>3.6951501154734445E-2</v>
      </c>
      <c r="E15">
        <v>3.7037037037037035E-2</v>
      </c>
      <c r="F15">
        <v>-4.0160642570280271E-3</v>
      </c>
      <c r="G15">
        <v>6.25E-2</v>
      </c>
      <c r="H15">
        <v>4.9382716049382762E-2</v>
      </c>
      <c r="I15">
        <v>6.25E-2</v>
      </c>
      <c r="J15" t="s">
        <v>126</v>
      </c>
      <c r="K15">
        <v>5.8091286307053881E-2</v>
      </c>
      <c r="L15" t="s">
        <v>126</v>
      </c>
    </row>
    <row r="16" spans="4:12">
      <c r="D16">
        <v>5.4587688734030235E-2</v>
      </c>
      <c r="E16">
        <v>4.8951048951048896E-2</v>
      </c>
      <c r="F16">
        <v>8.7719298245613718E-3</v>
      </c>
      <c r="G16">
        <v>9.3167701863354033E-2</v>
      </c>
      <c r="H16">
        <v>0.10000000000000009</v>
      </c>
      <c r="I16">
        <v>4.1420118343195436E-2</v>
      </c>
      <c r="J16" t="s">
        <v>126</v>
      </c>
      <c r="K16">
        <v>7.7551020408163349E-2</v>
      </c>
      <c r="L16" t="s">
        <v>126</v>
      </c>
    </row>
    <row r="17" spans="4:12">
      <c r="D17">
        <v>3.5714285714285587E-2</v>
      </c>
      <c r="E17">
        <v>2.7027027027026931E-2</v>
      </c>
      <c r="F17">
        <v>9.2592592592592258E-3</v>
      </c>
      <c r="G17">
        <v>5.6818181818181816E-2</v>
      </c>
      <c r="H17">
        <v>2.7624309392265192E-2</v>
      </c>
      <c r="I17">
        <v>6.2857142857142945E-2</v>
      </c>
      <c r="J17" t="s">
        <v>126</v>
      </c>
      <c r="K17">
        <v>4.8872180451127845E-2</v>
      </c>
      <c r="L17" t="s">
        <v>126</v>
      </c>
    </row>
    <row r="18" spans="4:12">
      <c r="D18">
        <v>4.3575418994413473E-2</v>
      </c>
      <c r="E18">
        <v>4.2944785276073573E-2</v>
      </c>
      <c r="F18">
        <v>4.0983606557377053E-2</v>
      </c>
      <c r="G18">
        <v>0.16438356164383564</v>
      </c>
      <c r="H18">
        <v>2.4096385542168586E-2</v>
      </c>
      <c r="I18">
        <v>-3.4090909090909172E-2</v>
      </c>
      <c r="J18" t="s">
        <v>126</v>
      </c>
      <c r="K18">
        <v>4.5081967213114665E-2</v>
      </c>
      <c r="L18" t="s">
        <v>126</v>
      </c>
    </row>
    <row r="19" spans="4:12">
      <c r="D19">
        <v>8.1145584725536957E-2</v>
      </c>
      <c r="E19">
        <v>8.0645161290322578E-2</v>
      </c>
      <c r="F19">
        <v>0.3267326732673268</v>
      </c>
      <c r="G19">
        <v>-0.15723270440251572</v>
      </c>
      <c r="H19">
        <v>9.8039215686274508E-2</v>
      </c>
      <c r="I19">
        <v>0.13513513513513511</v>
      </c>
      <c r="J19">
        <v>9.8039215686274508E-2</v>
      </c>
      <c r="K19">
        <v>3.0769230769230795E-2</v>
      </c>
      <c r="L19">
        <v>0.11013215859030835</v>
      </c>
    </row>
    <row r="20" spans="4:12">
      <c r="D20">
        <v>1.4492753623188373E-2</v>
      </c>
      <c r="E20">
        <v>-2.8037383177569996E-2</v>
      </c>
      <c r="F20">
        <v>-1.8181818181818226E-2</v>
      </c>
      <c r="G20">
        <v>0</v>
      </c>
      <c r="H20">
        <v>8.3870967741935532E-2</v>
      </c>
      <c r="I20">
        <v>3.8461538461538443E-2</v>
      </c>
      <c r="J20">
        <v>0</v>
      </c>
      <c r="K20">
        <v>-9.1743119266056335E-3</v>
      </c>
      <c r="L20">
        <v>4.1036717062635113E-2</v>
      </c>
    </row>
    <row r="23" spans="4:12">
      <c r="D23" t="s">
        <v>133</v>
      </c>
    </row>
    <row r="24" spans="4:12">
      <c r="D24" t="s">
        <v>4</v>
      </c>
      <c r="E24" t="s">
        <v>34</v>
      </c>
      <c r="F24" t="s">
        <v>35</v>
      </c>
      <c r="G24" t="s">
        <v>36</v>
      </c>
      <c r="H24" t="s">
        <v>37</v>
      </c>
      <c r="I24" t="s">
        <v>38</v>
      </c>
      <c r="J24" t="s">
        <v>39</v>
      </c>
      <c r="K24" t="s">
        <v>40</v>
      </c>
      <c r="L24" t="s">
        <v>41</v>
      </c>
    </row>
    <row r="25" spans="4:12">
      <c r="D25">
        <f>ABS(D6)*100</f>
        <v>0.57937427578215528</v>
      </c>
      <c r="E25">
        <f t="shared" ref="E25:K25" si="0">ABS(E6)*100</f>
        <v>0.68027210884354705</v>
      </c>
      <c r="F25">
        <f t="shared" si="0"/>
        <v>5.7777777777777812</v>
      </c>
      <c r="G25">
        <f t="shared" si="0"/>
        <v>1.2195121951219685</v>
      </c>
      <c r="H25">
        <f t="shared" si="0"/>
        <v>2.469135802469149</v>
      </c>
      <c r="I25">
        <f t="shared" si="0"/>
        <v>0.60606060606061463</v>
      </c>
      <c r="K25">
        <f t="shared" si="0"/>
        <v>1.4256619144603055</v>
      </c>
    </row>
    <row r="26" spans="4:12">
      <c r="D26">
        <f t="shared" ref="D26:K26" si="1">ABS(D7)*100</f>
        <v>3.9702233250620207</v>
      </c>
      <c r="E26">
        <f t="shared" si="1"/>
        <v>0.6535947712418394</v>
      </c>
      <c r="F26">
        <f t="shared" si="1"/>
        <v>2.8368794326241162</v>
      </c>
      <c r="G26">
        <f t="shared" si="1"/>
        <v>4.1322314049586781</v>
      </c>
      <c r="H26">
        <f t="shared" si="1"/>
        <v>6.4516129032258114</v>
      </c>
      <c r="I26">
        <f t="shared" si="1"/>
        <v>7.9365079365079358</v>
      </c>
      <c r="K26">
        <f t="shared" si="1"/>
        <v>6.1994609164420593</v>
      </c>
    </row>
    <row r="27" spans="4:12">
      <c r="D27">
        <f t="shared" ref="D27:K27" si="2">ABS(D8)*100</f>
        <v>2.818489289740699</v>
      </c>
      <c r="E27">
        <f t="shared" si="2"/>
        <v>9.4594594594594614</v>
      </c>
      <c r="F27">
        <f t="shared" si="2"/>
        <v>3.4482758620689689</v>
      </c>
      <c r="G27">
        <f t="shared" si="2"/>
        <v>0.59880239520958933</v>
      </c>
      <c r="H27">
        <f t="shared" si="2"/>
        <v>1.1764705882352899</v>
      </c>
      <c r="I27">
        <f t="shared" si="2"/>
        <v>1.1764705882352899</v>
      </c>
      <c r="K27">
        <f t="shared" si="2"/>
        <v>0.59171597633135531</v>
      </c>
    </row>
    <row r="28" spans="4:12">
      <c r="D28">
        <f t="shared" ref="D28:K28" si="3">ABS(D9)*100</f>
        <v>0.57803468208092479</v>
      </c>
      <c r="E28">
        <f t="shared" si="3"/>
        <v>3.9473684210526412</v>
      </c>
      <c r="F28">
        <f t="shared" si="3"/>
        <v>3.6437246963562693</v>
      </c>
      <c r="G28">
        <f t="shared" si="3"/>
        <v>1.282051282051289</v>
      </c>
      <c r="H28">
        <f t="shared" si="3"/>
        <v>2.5974025974025996</v>
      </c>
      <c r="I28">
        <f t="shared" si="3"/>
        <v>1.282051282051289</v>
      </c>
      <c r="K28">
        <f t="shared" si="3"/>
        <v>1.7167381974249016</v>
      </c>
    </row>
    <row r="29" spans="4:12">
      <c r="D29">
        <f t="shared" ref="D29:K29" si="4">ABS(D10)*100</f>
        <v>2.5917926565874638</v>
      </c>
      <c r="E29">
        <f t="shared" si="4"/>
        <v>3.4013605442176873</v>
      </c>
      <c r="F29">
        <f t="shared" si="4"/>
        <v>9.5238095238095237</v>
      </c>
      <c r="G29">
        <f t="shared" si="4"/>
        <v>2.1505376344085945</v>
      </c>
      <c r="H29">
        <f t="shared" si="4"/>
        <v>2.0618556701030855</v>
      </c>
      <c r="I29">
        <f t="shared" si="4"/>
        <v>0.52910052910053662</v>
      </c>
      <c r="K29">
        <f t="shared" si="4"/>
        <v>0.175746924428825</v>
      </c>
    </row>
    <row r="30" spans="4:12">
      <c r="D30">
        <f t="shared" ref="D30:K30" si="5">ABS(D11)*100</f>
        <v>0.71942446043166486</v>
      </c>
      <c r="E30">
        <f t="shared" si="5"/>
        <v>4.1095890410958882</v>
      </c>
      <c r="F30">
        <f t="shared" si="5"/>
        <v>4.1958041958042056</v>
      </c>
      <c r="G30">
        <f t="shared" si="5"/>
        <v>1.4705882352941124</v>
      </c>
      <c r="H30">
        <f t="shared" si="5"/>
        <v>1.5151515151515234</v>
      </c>
      <c r="I30">
        <f t="shared" si="5"/>
        <v>0</v>
      </c>
      <c r="K30">
        <f t="shared" si="5"/>
        <v>1.767519243184329E-14</v>
      </c>
    </row>
    <row r="31" spans="4:12">
      <c r="D31">
        <f t="shared" ref="D31:K31" si="6">ABS(D12)*100</f>
        <v>3.2036613272311345</v>
      </c>
      <c r="E31">
        <f t="shared" si="6"/>
        <v>3.5460992907801421</v>
      </c>
      <c r="F31">
        <f t="shared" si="6"/>
        <v>7.5268817204301008</v>
      </c>
      <c r="G31">
        <f t="shared" si="6"/>
        <v>14.482758620689665</v>
      </c>
      <c r="H31">
        <f t="shared" si="6"/>
        <v>9.9337748344370986</v>
      </c>
      <c r="I31">
        <f t="shared" si="6"/>
        <v>5.0632911392405102</v>
      </c>
      <c r="K31">
        <f t="shared" si="6"/>
        <v>9.6916299559471319</v>
      </c>
    </row>
    <row r="32" spans="4:12">
      <c r="D32">
        <f t="shared" ref="D32:K32" si="7">ABS(D13)*100</f>
        <v>1.4742014742014775</v>
      </c>
      <c r="E32">
        <f t="shared" si="7"/>
        <v>1.5625000000000084</v>
      </c>
      <c r="F32">
        <f t="shared" si="7"/>
        <v>2.4911032028469853</v>
      </c>
      <c r="G32">
        <f t="shared" si="7"/>
        <v>2.1897810218978027</v>
      </c>
      <c r="H32">
        <f t="shared" si="7"/>
        <v>0.74074074074073804</v>
      </c>
      <c r="I32">
        <f t="shared" si="7"/>
        <v>0.75187969924811759</v>
      </c>
      <c r="K32">
        <f t="shared" si="7"/>
        <v>0.74074074074073371</v>
      </c>
    </row>
    <row r="33" spans="1:12">
      <c r="D33">
        <f t="shared" ref="D33:K33" si="8">ABS(D14)*100</f>
        <v>2.4503311258278133</v>
      </c>
      <c r="E33">
        <f t="shared" si="8"/>
        <v>3.5365853658536701</v>
      </c>
      <c r="F33">
        <f t="shared" si="8"/>
        <v>0.50000000000000422</v>
      </c>
      <c r="G33">
        <f t="shared" si="8"/>
        <v>3.7125748502994069</v>
      </c>
      <c r="H33">
        <f t="shared" si="8"/>
        <v>3.0952380952380927</v>
      </c>
      <c r="I33">
        <f t="shared" si="8"/>
        <v>3.7125748502994069</v>
      </c>
      <c r="K33">
        <f t="shared" si="8"/>
        <v>3.5059760956175259</v>
      </c>
    </row>
    <row r="34" spans="1:12">
      <c r="D34">
        <f t="shared" ref="D34:K34" si="9">ABS(D15)*100</f>
        <v>3.6951501154734445</v>
      </c>
      <c r="E34">
        <f t="shared" si="9"/>
        <v>3.7037037037037033</v>
      </c>
      <c r="F34">
        <f t="shared" si="9"/>
        <v>0.40160642570280269</v>
      </c>
      <c r="G34">
        <f t="shared" si="9"/>
        <v>6.25</v>
      </c>
      <c r="H34">
        <f t="shared" si="9"/>
        <v>4.9382716049382758</v>
      </c>
      <c r="I34">
        <f t="shared" si="9"/>
        <v>6.25</v>
      </c>
      <c r="K34">
        <f t="shared" si="9"/>
        <v>5.8091286307053878</v>
      </c>
    </row>
    <row r="35" spans="1:12">
      <c r="D35">
        <f t="shared" ref="D35:K35" si="10">ABS(D16)*100</f>
        <v>5.4587688734030237</v>
      </c>
      <c r="E35">
        <f t="shared" si="10"/>
        <v>4.8951048951048897</v>
      </c>
      <c r="F35">
        <f t="shared" si="10"/>
        <v>0.87719298245613719</v>
      </c>
      <c r="G35">
        <f t="shared" si="10"/>
        <v>9.316770186335404</v>
      </c>
      <c r="H35">
        <f t="shared" si="10"/>
        <v>10.000000000000009</v>
      </c>
      <c r="I35">
        <f t="shared" si="10"/>
        <v>4.1420118343195433</v>
      </c>
      <c r="K35">
        <f t="shared" si="10"/>
        <v>7.7551020408163351</v>
      </c>
    </row>
    <row r="36" spans="1:12">
      <c r="D36">
        <f t="shared" ref="D36:K36" si="11">ABS(D17)*100</f>
        <v>3.5714285714285587</v>
      </c>
      <c r="E36">
        <f t="shared" si="11"/>
        <v>2.7027027027026933</v>
      </c>
      <c r="F36">
        <f t="shared" si="11"/>
        <v>0.9259259259259226</v>
      </c>
      <c r="G36">
        <f t="shared" si="11"/>
        <v>5.6818181818181817</v>
      </c>
      <c r="H36">
        <f t="shared" si="11"/>
        <v>2.7624309392265194</v>
      </c>
      <c r="I36">
        <f t="shared" si="11"/>
        <v>6.2857142857142945</v>
      </c>
      <c r="K36">
        <f t="shared" si="11"/>
        <v>4.8872180451127845</v>
      </c>
    </row>
    <row r="37" spans="1:12">
      <c r="D37">
        <f t="shared" ref="D37:K37" si="12">ABS(D18)*100</f>
        <v>4.3575418994413475</v>
      </c>
      <c r="E37">
        <f t="shared" si="12"/>
        <v>4.2944785276073576</v>
      </c>
      <c r="F37">
        <f t="shared" si="12"/>
        <v>4.0983606557377055</v>
      </c>
      <c r="G37">
        <f t="shared" si="12"/>
        <v>16.438356164383563</v>
      </c>
      <c r="H37">
        <f t="shared" si="12"/>
        <v>2.4096385542168584</v>
      </c>
      <c r="I37">
        <f t="shared" si="12"/>
        <v>3.4090909090909172</v>
      </c>
      <c r="K37">
        <f t="shared" si="12"/>
        <v>4.5081967213114664</v>
      </c>
    </row>
    <row r="38" spans="1:12">
      <c r="D38">
        <f t="shared" ref="D38:L38" si="13">ABS(D19)*100</f>
        <v>8.1145584725536963</v>
      </c>
      <c r="E38">
        <f t="shared" si="13"/>
        <v>8.064516129032258</v>
      </c>
      <c r="F38">
        <f t="shared" si="13"/>
        <v>32.673267326732677</v>
      </c>
      <c r="G38">
        <f t="shared" si="13"/>
        <v>15.723270440251572</v>
      </c>
      <c r="H38">
        <f t="shared" si="13"/>
        <v>9.8039215686274517</v>
      </c>
      <c r="I38">
        <f t="shared" si="13"/>
        <v>13.513513513513512</v>
      </c>
      <c r="J38">
        <f t="shared" si="13"/>
        <v>9.8039215686274517</v>
      </c>
      <c r="K38">
        <f t="shared" si="13"/>
        <v>3.0769230769230793</v>
      </c>
      <c r="L38">
        <f t="shared" si="13"/>
        <v>11.013215859030835</v>
      </c>
    </row>
    <row r="39" spans="1:12">
      <c r="D39">
        <f t="shared" ref="D39:L39" si="14">ABS(D20)*100</f>
        <v>1.4492753623188372</v>
      </c>
      <c r="E39">
        <f t="shared" si="14"/>
        <v>2.8037383177569994</v>
      </c>
      <c r="F39">
        <f t="shared" si="14"/>
        <v>1.8181818181818226</v>
      </c>
      <c r="G39">
        <f t="shared" si="14"/>
        <v>0</v>
      </c>
      <c r="H39">
        <f t="shared" si="14"/>
        <v>8.3870967741935534</v>
      </c>
      <c r="I39">
        <f t="shared" si="14"/>
        <v>3.8461538461538445</v>
      </c>
      <c r="J39">
        <f t="shared" si="14"/>
        <v>0</v>
      </c>
      <c r="K39">
        <f t="shared" si="14"/>
        <v>0.91743119266056339</v>
      </c>
      <c r="L39">
        <f t="shared" si="14"/>
        <v>4.1036717062635111</v>
      </c>
    </row>
    <row r="42" spans="1:12">
      <c r="A42" t="s">
        <v>128</v>
      </c>
    </row>
    <row r="43" spans="1:12">
      <c r="A43" t="s">
        <v>129</v>
      </c>
      <c r="B43">
        <v>0</v>
      </c>
      <c r="C43">
        <v>5</v>
      </c>
      <c r="D43" s="156">
        <f>COUNTIF($D$25:$D$39,"&lt;"&amp;$C43)</f>
        <v>13</v>
      </c>
      <c r="E43" s="156">
        <f>COUNTIF($E$25:$E$39,"&lt;"&amp;$C43)</f>
        <v>13</v>
      </c>
      <c r="F43" s="156">
        <f>COUNTIF($F$25:$F$39,"&lt;"&amp;$C43)</f>
        <v>11</v>
      </c>
      <c r="G43" s="156">
        <f>COUNTIF($G$25:$G$39,"&lt;"&amp;$C43)</f>
        <v>9</v>
      </c>
      <c r="H43" s="156">
        <f>COUNTIF($H$25:$H$39,"&lt;"&amp;$C43)</f>
        <v>10</v>
      </c>
      <c r="I43" s="156">
        <f>COUNTIF($I$25:$I$39,"&lt;"&amp;$C43)</f>
        <v>10</v>
      </c>
      <c r="J43" s="156"/>
      <c r="K43" s="156">
        <f>COUNTIF($K$25:$K$39,"&lt;"&amp;$C43)</f>
        <v>11</v>
      </c>
      <c r="L43">
        <f t="shared" ref="L43" si="15">COUNTIF($E$25:$E$39,"&lt;"&amp;$C43)</f>
        <v>13</v>
      </c>
    </row>
    <row r="44" spans="1:12">
      <c r="A44" t="s">
        <v>130</v>
      </c>
      <c r="B44">
        <v>5</v>
      </c>
      <c r="C44">
        <v>10</v>
      </c>
      <c r="D44" s="156">
        <f t="shared" ref="D44:D49" si="16">COUNTIF($D$25:$D$39,"&lt;"&amp;$C44)</f>
        <v>15</v>
      </c>
      <c r="E44" s="156">
        <f t="shared" ref="E44:E49" si="17">COUNTIF($E$25:$E$39,"&lt;"&amp;$C44)</f>
        <v>15</v>
      </c>
      <c r="F44" s="156">
        <f>COUNTIF($F$25:$F$39,"&lt;"&amp;$C44)</f>
        <v>14</v>
      </c>
      <c r="G44" s="156">
        <f t="shared" ref="G44:G49" si="18">COUNTIF($G$25:$G$39,"&lt;"&amp;$C44)</f>
        <v>12</v>
      </c>
      <c r="H44" s="156">
        <f t="shared" ref="H44:H46" si="19">COUNTIF($H$25:$H$39,"&lt;"&amp;$C44)</f>
        <v>14</v>
      </c>
      <c r="I44" s="156">
        <f t="shared" ref="I44:I48" si="20">COUNTIF($I$25:$I$39,"&lt;"&amp;$C44)</f>
        <v>14</v>
      </c>
      <c r="J44" s="156"/>
      <c r="K44" s="156">
        <f t="shared" ref="K44:K49" si="21">COUNTIF($K$25:$K$39,"&lt;"&amp;$C44)</f>
        <v>15</v>
      </c>
    </row>
    <row r="45" spans="1:12">
      <c r="A45" t="s">
        <v>131</v>
      </c>
      <c r="B45">
        <v>10</v>
      </c>
      <c r="C45">
        <v>15</v>
      </c>
      <c r="D45" s="156">
        <f t="shared" si="16"/>
        <v>15</v>
      </c>
      <c r="E45" s="156">
        <f t="shared" si="17"/>
        <v>15</v>
      </c>
      <c r="F45" s="156">
        <f>COUNTIF($F$25:$F$39,"&lt;"&amp;$C45)</f>
        <v>14</v>
      </c>
      <c r="G45" s="156">
        <f t="shared" si="18"/>
        <v>13</v>
      </c>
      <c r="H45" s="156">
        <f t="shared" si="19"/>
        <v>15</v>
      </c>
      <c r="I45" s="156">
        <f t="shared" si="20"/>
        <v>15</v>
      </c>
      <c r="J45" s="156"/>
      <c r="K45" s="156">
        <f t="shared" si="21"/>
        <v>15</v>
      </c>
    </row>
    <row r="46" spans="1:12">
      <c r="A46" t="s">
        <v>132</v>
      </c>
      <c r="B46">
        <v>15</v>
      </c>
      <c r="C46">
        <v>20</v>
      </c>
      <c r="D46" s="156">
        <f t="shared" si="16"/>
        <v>15</v>
      </c>
      <c r="E46" s="156">
        <f t="shared" si="17"/>
        <v>15</v>
      </c>
      <c r="F46" s="156">
        <f t="shared" ref="F46:F51" si="22">COUNTIF($F$25:$F$39,"&lt;"&amp;$C46)</f>
        <v>14</v>
      </c>
      <c r="G46" s="156">
        <f t="shared" si="18"/>
        <v>15</v>
      </c>
      <c r="H46" s="156">
        <f t="shared" si="19"/>
        <v>15</v>
      </c>
      <c r="I46" s="156">
        <f t="shared" si="20"/>
        <v>15</v>
      </c>
      <c r="J46" s="156"/>
      <c r="K46" s="156">
        <f t="shared" si="21"/>
        <v>15</v>
      </c>
    </row>
    <row r="47" spans="1:12">
      <c r="B47">
        <v>20</v>
      </c>
      <c r="C47">
        <v>25</v>
      </c>
      <c r="D47" s="156">
        <f t="shared" si="16"/>
        <v>15</v>
      </c>
      <c r="E47" s="156">
        <f t="shared" si="17"/>
        <v>15</v>
      </c>
      <c r="F47" s="156">
        <f t="shared" si="22"/>
        <v>14</v>
      </c>
      <c r="G47" s="156">
        <f t="shared" si="18"/>
        <v>15</v>
      </c>
      <c r="H47" s="156"/>
      <c r="I47" s="156">
        <f t="shared" si="20"/>
        <v>15</v>
      </c>
      <c r="J47" s="156"/>
      <c r="K47" s="156">
        <f t="shared" si="21"/>
        <v>15</v>
      </c>
    </row>
    <row r="48" spans="1:12">
      <c r="B48">
        <v>25</v>
      </c>
      <c r="C48">
        <v>30</v>
      </c>
      <c r="D48" s="156">
        <f t="shared" si="16"/>
        <v>15</v>
      </c>
      <c r="E48" s="156">
        <f t="shared" si="17"/>
        <v>15</v>
      </c>
      <c r="F48" s="156">
        <f t="shared" si="22"/>
        <v>14</v>
      </c>
      <c r="G48" s="156">
        <f t="shared" si="18"/>
        <v>15</v>
      </c>
      <c r="H48" s="156"/>
      <c r="I48" s="156">
        <f t="shared" si="20"/>
        <v>15</v>
      </c>
      <c r="J48" s="156"/>
      <c r="K48" s="156">
        <f t="shared" si="21"/>
        <v>15</v>
      </c>
    </row>
    <row r="49" spans="1:12">
      <c r="B49">
        <v>30</v>
      </c>
      <c r="C49">
        <v>35</v>
      </c>
      <c r="D49" s="156">
        <f t="shared" si="16"/>
        <v>15</v>
      </c>
      <c r="E49" s="156">
        <f t="shared" si="17"/>
        <v>15</v>
      </c>
      <c r="F49" s="156">
        <f t="shared" si="22"/>
        <v>15</v>
      </c>
      <c r="G49" s="156">
        <f t="shared" si="18"/>
        <v>15</v>
      </c>
      <c r="H49" s="156"/>
      <c r="I49" s="156"/>
      <c r="J49" s="156"/>
      <c r="K49" s="156">
        <f t="shared" si="21"/>
        <v>15</v>
      </c>
    </row>
    <row r="50" spans="1:12">
      <c r="D50" s="156"/>
      <c r="E50" s="156"/>
      <c r="F50" s="156">
        <f>COUNTIF($F$25:$F$39,"&lt;"&amp;$C50)</f>
        <v>0</v>
      </c>
      <c r="G50" s="156"/>
      <c r="H50" s="156"/>
      <c r="I50" s="156"/>
      <c r="J50" s="156"/>
      <c r="K50" s="156"/>
    </row>
    <row r="51" spans="1:12">
      <c r="D51" s="156"/>
      <c r="E51" s="156"/>
      <c r="F51" s="156">
        <f t="shared" si="22"/>
        <v>0</v>
      </c>
      <c r="G51" s="156"/>
      <c r="H51" s="156"/>
      <c r="I51" s="156"/>
      <c r="J51" s="156"/>
      <c r="K51" s="156"/>
    </row>
    <row r="52" spans="1:12">
      <c r="A52" t="str">
        <f t="shared" ref="A52:C52" si="23">A43</f>
        <v>Entre 0 et 5%</v>
      </c>
      <c r="B52">
        <f t="shared" si="23"/>
        <v>0</v>
      </c>
      <c r="C52">
        <f t="shared" si="23"/>
        <v>5</v>
      </c>
      <c r="D52" s="156">
        <f>D43/15*100</f>
        <v>86.666666666666671</v>
      </c>
      <c r="E52" s="156">
        <f t="shared" ref="E52:L52" si="24">E43/15*100</f>
        <v>86.666666666666671</v>
      </c>
      <c r="F52" s="156">
        <f t="shared" si="24"/>
        <v>73.333333333333329</v>
      </c>
      <c r="G52" s="156">
        <f t="shared" si="24"/>
        <v>60</v>
      </c>
      <c r="H52" s="156">
        <f t="shared" si="24"/>
        <v>66.666666666666657</v>
      </c>
      <c r="I52" s="156">
        <f t="shared" si="24"/>
        <v>66.666666666666657</v>
      </c>
      <c r="J52" s="156">
        <f t="shared" si="24"/>
        <v>0</v>
      </c>
      <c r="K52" s="156">
        <f t="shared" si="24"/>
        <v>73.333333333333329</v>
      </c>
      <c r="L52" s="156">
        <f t="shared" si="24"/>
        <v>86.666666666666671</v>
      </c>
    </row>
    <row r="53" spans="1:12">
      <c r="A53" t="str">
        <f t="shared" ref="A53:C53" si="25">A44</f>
        <v xml:space="preserve">Entre 5% et 10% </v>
      </c>
      <c r="B53">
        <f t="shared" si="25"/>
        <v>5</v>
      </c>
      <c r="C53">
        <f t="shared" si="25"/>
        <v>10</v>
      </c>
      <c r="D53" s="156">
        <f t="shared" ref="D53:L53" si="26">D44/15*100</f>
        <v>100</v>
      </c>
      <c r="E53" s="156">
        <f t="shared" si="26"/>
        <v>100</v>
      </c>
      <c r="F53" s="156">
        <f t="shared" si="26"/>
        <v>93.333333333333329</v>
      </c>
      <c r="G53" s="156">
        <f t="shared" si="26"/>
        <v>80</v>
      </c>
      <c r="H53" s="156">
        <f t="shared" si="26"/>
        <v>93.333333333333329</v>
      </c>
      <c r="I53" s="156">
        <f t="shared" si="26"/>
        <v>93.333333333333329</v>
      </c>
      <c r="J53" s="156">
        <f t="shared" si="26"/>
        <v>0</v>
      </c>
      <c r="K53" s="156">
        <f t="shared" si="26"/>
        <v>100</v>
      </c>
      <c r="L53" s="156">
        <f t="shared" si="26"/>
        <v>0</v>
      </c>
    </row>
    <row r="54" spans="1:12">
      <c r="A54" t="str">
        <f t="shared" ref="A54:C54" si="27">A45</f>
        <v>Entre 10 et 15%</v>
      </c>
      <c r="B54">
        <f t="shared" si="27"/>
        <v>10</v>
      </c>
      <c r="C54">
        <f t="shared" si="27"/>
        <v>15</v>
      </c>
      <c r="D54" s="156">
        <f t="shared" ref="D54:L54" si="28">D45/15*100</f>
        <v>100</v>
      </c>
      <c r="E54" s="156">
        <f t="shared" si="28"/>
        <v>100</v>
      </c>
      <c r="F54" s="156">
        <f t="shared" si="28"/>
        <v>93.333333333333329</v>
      </c>
      <c r="G54" s="156">
        <f t="shared" si="28"/>
        <v>86.666666666666671</v>
      </c>
      <c r="H54" s="156">
        <f t="shared" si="28"/>
        <v>100</v>
      </c>
      <c r="I54" s="156">
        <f t="shared" si="28"/>
        <v>100</v>
      </c>
      <c r="J54" s="156">
        <f t="shared" si="28"/>
        <v>0</v>
      </c>
      <c r="K54" s="156">
        <f t="shared" si="28"/>
        <v>100</v>
      </c>
      <c r="L54" s="156">
        <f t="shared" si="28"/>
        <v>0</v>
      </c>
    </row>
    <row r="55" spans="1:12">
      <c r="A55" t="str">
        <f t="shared" ref="A55:C55" si="29">A46</f>
        <v xml:space="preserve">Entre 15 et 20% </v>
      </c>
      <c r="B55">
        <f t="shared" si="29"/>
        <v>15</v>
      </c>
      <c r="C55">
        <f t="shared" si="29"/>
        <v>20</v>
      </c>
      <c r="D55" s="156">
        <f t="shared" ref="D55:L55" si="30">D46/15*100</f>
        <v>100</v>
      </c>
      <c r="E55" s="156">
        <f t="shared" si="30"/>
        <v>100</v>
      </c>
      <c r="F55" s="156">
        <f t="shared" si="30"/>
        <v>93.333333333333329</v>
      </c>
      <c r="G55" s="156">
        <f t="shared" si="30"/>
        <v>100</v>
      </c>
      <c r="H55" s="156">
        <f t="shared" si="30"/>
        <v>100</v>
      </c>
      <c r="I55" s="156">
        <f t="shared" si="30"/>
        <v>100</v>
      </c>
      <c r="J55" s="156">
        <f t="shared" si="30"/>
        <v>0</v>
      </c>
      <c r="K55" s="156">
        <f t="shared" si="30"/>
        <v>100</v>
      </c>
      <c r="L55" s="156">
        <f t="shared" si="30"/>
        <v>0</v>
      </c>
    </row>
    <row r="56" spans="1:12">
      <c r="A56">
        <f t="shared" ref="A56:C56" si="31">A47</f>
        <v>0</v>
      </c>
      <c r="B56">
        <f t="shared" si="31"/>
        <v>20</v>
      </c>
      <c r="C56">
        <f t="shared" si="31"/>
        <v>25</v>
      </c>
      <c r="D56" s="156">
        <f t="shared" ref="D56:L56" si="32">D47/15*100</f>
        <v>100</v>
      </c>
      <c r="E56" s="156">
        <f t="shared" si="32"/>
        <v>100</v>
      </c>
      <c r="F56" s="156">
        <f t="shared" si="32"/>
        <v>93.333333333333329</v>
      </c>
      <c r="G56" s="156">
        <f t="shared" si="32"/>
        <v>100</v>
      </c>
      <c r="H56" s="156">
        <f t="shared" si="32"/>
        <v>0</v>
      </c>
      <c r="I56" s="156">
        <f t="shared" si="32"/>
        <v>100</v>
      </c>
      <c r="J56" s="156">
        <f t="shared" si="32"/>
        <v>0</v>
      </c>
      <c r="K56" s="156">
        <f t="shared" si="32"/>
        <v>100</v>
      </c>
      <c r="L56" s="156">
        <f t="shared" si="32"/>
        <v>0</v>
      </c>
    </row>
    <row r="57" spans="1:12">
      <c r="A57">
        <f t="shared" ref="A57:C57" si="33">A48</f>
        <v>0</v>
      </c>
      <c r="B57">
        <f t="shared" si="33"/>
        <v>25</v>
      </c>
      <c r="C57">
        <f t="shared" si="33"/>
        <v>30</v>
      </c>
      <c r="D57" s="156">
        <f t="shared" ref="D57:L57" si="34">D48/15*100</f>
        <v>100</v>
      </c>
      <c r="E57" s="156">
        <f t="shared" si="34"/>
        <v>100</v>
      </c>
      <c r="F57" s="156">
        <f t="shared" si="34"/>
        <v>93.333333333333329</v>
      </c>
      <c r="G57" s="156">
        <f t="shared" si="34"/>
        <v>100</v>
      </c>
      <c r="H57" s="156">
        <f t="shared" si="34"/>
        <v>0</v>
      </c>
      <c r="I57" s="156">
        <f t="shared" si="34"/>
        <v>100</v>
      </c>
      <c r="J57" s="156">
        <f t="shared" si="34"/>
        <v>0</v>
      </c>
      <c r="K57" s="156">
        <f t="shared" si="34"/>
        <v>100</v>
      </c>
      <c r="L57" s="156">
        <f t="shared" si="34"/>
        <v>0</v>
      </c>
    </row>
    <row r="58" spans="1:12">
      <c r="A58">
        <f t="shared" ref="A58:C58" si="35">A49</f>
        <v>0</v>
      </c>
      <c r="B58">
        <f t="shared" si="35"/>
        <v>30</v>
      </c>
      <c r="C58">
        <f t="shared" si="35"/>
        <v>35</v>
      </c>
      <c r="D58" s="156">
        <f t="shared" ref="D58:L58" si="36">D49/15*100</f>
        <v>100</v>
      </c>
      <c r="E58" s="156">
        <f t="shared" si="36"/>
        <v>100</v>
      </c>
      <c r="F58" s="156">
        <f t="shared" si="36"/>
        <v>100</v>
      </c>
      <c r="G58" s="156">
        <f t="shared" si="36"/>
        <v>100</v>
      </c>
      <c r="H58" s="156">
        <f t="shared" si="36"/>
        <v>0</v>
      </c>
      <c r="I58" s="156">
        <f t="shared" si="36"/>
        <v>0</v>
      </c>
      <c r="J58" s="156">
        <f t="shared" si="36"/>
        <v>0</v>
      </c>
      <c r="K58" s="156">
        <f t="shared" si="36"/>
        <v>100</v>
      </c>
      <c r="L58" s="156">
        <f t="shared" si="36"/>
        <v>0</v>
      </c>
    </row>
    <row r="59" spans="1:12">
      <c r="A59">
        <f t="shared" ref="A59:C59" si="37">A50</f>
        <v>0</v>
      </c>
      <c r="B59">
        <f t="shared" si="37"/>
        <v>0</v>
      </c>
      <c r="C59">
        <f t="shared" si="37"/>
        <v>0</v>
      </c>
      <c r="D59" s="156">
        <f t="shared" ref="D59:L59" si="38">D50/15*100</f>
        <v>0</v>
      </c>
      <c r="E59" s="156">
        <f t="shared" si="38"/>
        <v>0</v>
      </c>
      <c r="F59" s="156">
        <f t="shared" si="38"/>
        <v>0</v>
      </c>
      <c r="G59" s="156">
        <f t="shared" si="38"/>
        <v>0</v>
      </c>
      <c r="H59" s="156">
        <f t="shared" si="38"/>
        <v>0</v>
      </c>
      <c r="I59" s="156">
        <f t="shared" si="38"/>
        <v>0</v>
      </c>
      <c r="J59" s="156">
        <f t="shared" si="38"/>
        <v>0</v>
      </c>
      <c r="K59" s="156">
        <f t="shared" si="38"/>
        <v>0</v>
      </c>
      <c r="L59" s="156">
        <f t="shared" si="38"/>
        <v>0</v>
      </c>
    </row>
    <row r="60" spans="1:12">
      <c r="A60">
        <f t="shared" ref="A60:C60" si="39">A51</f>
        <v>0</v>
      </c>
      <c r="B60">
        <f t="shared" si="39"/>
        <v>0</v>
      </c>
      <c r="C60">
        <f t="shared" si="39"/>
        <v>0</v>
      </c>
      <c r="D60" s="156">
        <f t="shared" ref="D60:L60" si="40">D51/15*100</f>
        <v>0</v>
      </c>
      <c r="E60" s="156">
        <f t="shared" si="40"/>
        <v>0</v>
      </c>
      <c r="F60" s="156">
        <f t="shared" si="40"/>
        <v>0</v>
      </c>
      <c r="G60" s="156">
        <f t="shared" si="40"/>
        <v>0</v>
      </c>
      <c r="H60" s="156">
        <f t="shared" si="40"/>
        <v>0</v>
      </c>
      <c r="I60" s="156">
        <f t="shared" si="40"/>
        <v>0</v>
      </c>
      <c r="J60" s="156">
        <f t="shared" si="40"/>
        <v>0</v>
      </c>
      <c r="K60" s="156">
        <f t="shared" si="40"/>
        <v>0</v>
      </c>
      <c r="L60" s="156">
        <f t="shared" si="40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Q54"/>
  <sheetViews>
    <sheetView tabSelected="1" workbookViewId="0">
      <selection activeCell="W34" sqref="W34"/>
    </sheetView>
  </sheetViews>
  <sheetFormatPr baseColWidth="10" defaultRowHeight="12.75"/>
  <cols>
    <col min="1" max="1" width="17" style="84" customWidth="1"/>
    <col min="2" max="2" width="8.140625" style="84" bestFit="1" customWidth="1"/>
    <col min="3" max="3" width="9.28515625" style="84" customWidth="1"/>
    <col min="4" max="4" width="9.5703125" style="84" customWidth="1"/>
    <col min="5" max="5" width="10.140625" style="84" bestFit="1" customWidth="1"/>
    <col min="6" max="6" width="8.7109375" style="84" customWidth="1"/>
    <col min="7" max="7" width="6.5703125" style="84" bestFit="1" customWidth="1"/>
    <col min="8" max="8" width="5.7109375" style="84" customWidth="1"/>
    <col min="9" max="9" width="4.7109375" style="84" bestFit="1" customWidth="1"/>
    <col min="10" max="10" width="4.7109375" style="84" customWidth="1"/>
    <col min="11" max="11" width="6" style="84" customWidth="1"/>
    <col min="12" max="12" width="5.7109375" style="84" hidden="1" customWidth="1"/>
    <col min="13" max="13" width="9.85546875" style="84" customWidth="1"/>
    <col min="14" max="14" width="7.42578125" style="84" hidden="1" customWidth="1"/>
    <col min="15" max="15" width="9.42578125" style="84" bestFit="1" customWidth="1"/>
    <col min="16" max="16384" width="11.42578125" style="84"/>
  </cols>
  <sheetData>
    <row r="1" spans="1:17" ht="30" customHeight="1">
      <c r="C1" s="85" t="s">
        <v>44</v>
      </c>
    </row>
    <row r="2" spans="1:17" ht="15" customHeight="1">
      <c r="C2" s="86" t="s">
        <v>45</v>
      </c>
    </row>
    <row r="3" spans="1:17" ht="15" customHeight="1">
      <c r="C3" s="85"/>
      <c r="M3" s="87" t="s">
        <v>46</v>
      </c>
    </row>
    <row r="4" spans="1:17" ht="14.25">
      <c r="A4" s="88" t="s">
        <v>87</v>
      </c>
      <c r="B4" s="89" t="s">
        <v>47</v>
      </c>
      <c r="C4" s="89"/>
      <c r="D4" s="89" t="s">
        <v>88</v>
      </c>
      <c r="F4" s="90" t="s">
        <v>48</v>
      </c>
      <c r="G4" s="91"/>
      <c r="H4" s="91"/>
      <c r="I4" s="91"/>
      <c r="J4" s="92"/>
      <c r="M4" s="93">
        <v>0</v>
      </c>
    </row>
    <row r="5" spans="1:17">
      <c r="A5" s="94"/>
      <c r="B5" s="95" t="s">
        <v>49</v>
      </c>
      <c r="C5" s="96"/>
      <c r="D5" s="97" t="s">
        <v>50</v>
      </c>
    </row>
    <row r="6" spans="1:17" ht="6" customHeight="1" thickBot="1">
      <c r="A6" s="98"/>
      <c r="B6" s="99"/>
      <c r="C6" s="100"/>
      <c r="D6" s="101"/>
      <c r="E6" s="101"/>
      <c r="F6" s="102"/>
      <c r="G6" s="103"/>
      <c r="H6" s="102"/>
      <c r="I6" s="102"/>
      <c r="J6" s="102"/>
      <c r="K6" s="102"/>
      <c r="L6" s="102"/>
      <c r="M6" s="102"/>
      <c r="N6" s="102"/>
      <c r="O6" s="104"/>
    </row>
    <row r="7" spans="1:17" ht="14.25">
      <c r="A7" s="105"/>
      <c r="B7" s="105" t="s">
        <v>9</v>
      </c>
      <c r="C7" s="105" t="s">
        <v>138</v>
      </c>
      <c r="D7" s="105" t="s">
        <v>139</v>
      </c>
      <c r="E7" s="105" t="s">
        <v>140</v>
      </c>
      <c r="F7" s="106" t="s">
        <v>89</v>
      </c>
      <c r="G7" s="105" t="s">
        <v>141</v>
      </c>
      <c r="H7" s="106" t="str">
        <f>IF(M4=0,"d","0.8*d")</f>
        <v>d</v>
      </c>
      <c r="I7" s="106" t="s">
        <v>90</v>
      </c>
      <c r="J7" s="106" t="s">
        <v>91</v>
      </c>
      <c r="K7" s="107" t="s">
        <v>141</v>
      </c>
      <c r="L7" s="108" t="s">
        <v>58</v>
      </c>
      <c r="M7" s="106" t="s">
        <v>58</v>
      </c>
      <c r="N7" s="109" t="s">
        <v>92</v>
      </c>
      <c r="O7" s="167" t="s">
        <v>142</v>
      </c>
      <c r="P7" s="111" t="s">
        <v>60</v>
      </c>
    </row>
    <row r="8" spans="1:17" ht="13.5" thickBot="1">
      <c r="A8" s="112"/>
      <c r="B8" s="113"/>
      <c r="C8" s="113" t="s">
        <v>62</v>
      </c>
      <c r="D8" s="113" t="s">
        <v>62</v>
      </c>
      <c r="E8" s="113" t="s">
        <v>62</v>
      </c>
      <c r="F8" s="113" t="s">
        <v>62</v>
      </c>
      <c r="G8" s="113"/>
      <c r="H8" s="113" t="s">
        <v>62</v>
      </c>
      <c r="I8" s="113" t="s">
        <v>62</v>
      </c>
      <c r="J8" s="113" t="s">
        <v>62</v>
      </c>
      <c r="K8" s="113"/>
      <c r="L8" s="113" t="s">
        <v>62</v>
      </c>
      <c r="M8" s="113" t="s">
        <v>62</v>
      </c>
      <c r="N8" s="114" t="s">
        <v>62</v>
      </c>
      <c r="O8" s="168"/>
    </row>
    <row r="9" spans="1:17" ht="13.5" thickBot="1">
      <c r="A9" s="105" t="s">
        <v>134</v>
      </c>
      <c r="B9" s="116">
        <f>Senlis_PLtraf!AJ5</f>
        <v>15</v>
      </c>
      <c r="C9" s="117">
        <v>100</v>
      </c>
      <c r="D9" s="118">
        <f>Senlis_PLtraf!AJ6*100</f>
        <v>1.3816829965302198</v>
      </c>
      <c r="E9" s="118">
        <f>Senlis_PLtraf!AJ7*100</f>
        <v>3.4284363177260939</v>
      </c>
      <c r="F9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85.188406242421166</v>
      </c>
      <c r="G9" s="120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B(10)</v>
      </c>
      <c r="H9" s="121">
        <f>K9*IF(M$4=0,1,0.8)</f>
        <v>10</v>
      </c>
      <c r="I9" s="122">
        <v>7.1</v>
      </c>
      <c r="J9" s="119">
        <f>I9*IF(M$4=0,1,1.25)</f>
        <v>7.1</v>
      </c>
      <c r="K9" s="121">
        <f>IF(OR(J9&lt;=5,J9&gt;7),ROUNDUP((J9/5),0)*5,7)</f>
        <v>10</v>
      </c>
      <c r="L9" s="119">
        <f>100*(1-TDIST((I9/E9-D9/E9)-TINV(0.05,B9-1)/SQRT(B9),B9-1,1)-TDIST((I9/E9+D9/E9)-TINV(0.05,B9-1)/SQRT(B9),B9-1,1))</f>
        <v>82.028202493134359</v>
      </c>
      <c r="M9" s="119">
        <f>100*(1-TDIST((H9/E9-D9/E9)-TINV(0.05,B9-1)/SQRT(B9),B9-1,1)-TDIST((H9/E9+D9/E9)-TINV(0.05,B9-1)/SQRT(B9),B9-1,1))</f>
        <v>95.731407657557071</v>
      </c>
      <c r="N9" s="123"/>
      <c r="O9" s="124"/>
    </row>
    <row r="10" spans="1:17">
      <c r="A10" s="105" t="s">
        <v>135</v>
      </c>
      <c r="B10" s="116">
        <f>Senlis_PLtraf!AM5</f>
        <v>15</v>
      </c>
      <c r="C10" s="117">
        <v>100</v>
      </c>
      <c r="D10" s="118">
        <f>Senlis_PLtraf!AM6*100</f>
        <v>2.2735315184382037</v>
      </c>
      <c r="E10" s="118">
        <f>Senlis_PLtraf!AM7*100</f>
        <v>3.9770193607518891</v>
      </c>
      <c r="F10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85.188406242421166</v>
      </c>
      <c r="G10" s="120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B+(7)</v>
      </c>
      <c r="H10" s="93">
        <f>IF(K10&lt;7,K10/0.7,IF(K10&lt;30,K10+3,K10*1.1))*IF(M$4=0,1,0.8)</f>
        <v>10</v>
      </c>
      <c r="I10" s="122">
        <v>10</v>
      </c>
      <c r="J10" s="119">
        <f>IF(I10&lt;10,0.7*I10*IF(M$4=0,1,1.25),I10*IF(M$4=0,1,1.25)-3)</f>
        <v>7</v>
      </c>
      <c r="K10" s="121">
        <f>IF(OR(J10&lt;=5,J10&gt;7),ROUNDUP((J10/5),0)*5,7)</f>
        <v>7</v>
      </c>
      <c r="L10" s="119">
        <f>100*(1-TDIST((I10/E10-D10/E10)-TINV(0.05,B10-1)/SQRT(B10),B10-1,1)-TDIST((I10/E10+D10/E10)-TINV(0.05,B10-1)/SQRT(B10),B10-1,1))</f>
        <v>89.477172336317906</v>
      </c>
      <c r="M10" s="119">
        <f>100*(1-TDIST(((H10-D10)/E10)*SQRT(B10/(B10+1)),B10-1,1)-TDIST(((H10+D10)/E10)*SQRT(B10/(B10+1)),B10-1,1))</f>
        <v>95.464941915550099</v>
      </c>
      <c r="N10" s="125">
        <v>96.503494262695313</v>
      </c>
      <c r="O10" s="126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C(15)</v>
      </c>
    </row>
    <row r="11" spans="1:17">
      <c r="A11" s="105" t="s">
        <v>136</v>
      </c>
      <c r="B11" s="116">
        <f>Senlis_PLtraf!AK5</f>
        <v>30</v>
      </c>
      <c r="C11" s="117">
        <v>100</v>
      </c>
      <c r="D11" s="118">
        <f>Senlis_PLtraf!AK6*100</f>
        <v>0.60034897761168882</v>
      </c>
      <c r="E11" s="118">
        <f>Senlis_PLtraf!AK7*100</f>
        <v>7.4623056120782305</v>
      </c>
      <c r="F11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89.617661766219172</v>
      </c>
      <c r="G11" s="120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C(15)</v>
      </c>
      <c r="H11" s="121">
        <f>IF(K11&lt;10,K11*(85-K11)/50,IF(K11&lt;25,K11+5,6*K11/5))*IF(M$4=0,1,0.8)</f>
        <v>20</v>
      </c>
      <c r="I11" s="122">
        <v>15.1</v>
      </c>
      <c r="J11" s="119">
        <f>IF(I11&lt;15,I11*(I11*IF(M$4=0,1,1.25)+97)*IF(M$4=0,1,1.25)/168,I11*IF(M$4=0,1,1.25)-5)</f>
        <v>10.1</v>
      </c>
      <c r="K11" s="93">
        <f>IF(OR(J11&lt;=5,J11&gt;7),ROUNDUP((J11/5),0)*5,7)</f>
        <v>15</v>
      </c>
      <c r="L11" s="119">
        <f>100*(1-TDIST((I11/E11-D11/E11)-TINV(0.05,B11-1)/SQRT(B11),B11-1,1)-TDIST((I11/E11+D11/E11)-TINV(0.05,B11-1)/SQRT(B11),B11-1,1))</f>
        <v>88.924616302723138</v>
      </c>
      <c r="M11" s="119">
        <f t="shared" ref="M11:M12" si="0">100*(1-TDIST((H11/E11-D11/E11)-TINV(0.05,B11-1)/SQRT(B11),B11-1,1)-TDIST((H11/E11+D11/E11)-TINV(0.05,B11-1)/SQRT(B11),B11-1,1))</f>
        <v>97.117818760502459</v>
      </c>
      <c r="N11" s="127">
        <v>96.943229675292969</v>
      </c>
      <c r="O11" s="128"/>
    </row>
    <row r="12" spans="1:17">
      <c r="A12" s="105" t="s">
        <v>137</v>
      </c>
      <c r="B12" s="116">
        <f>Senlis_PLtraf!AL5</f>
        <v>45</v>
      </c>
      <c r="C12" s="117">
        <v>100</v>
      </c>
      <c r="D12" s="118">
        <f>Senlis_PLtraf!AL6*100</f>
        <v>2.7311254577022708</v>
      </c>
      <c r="E12" s="118">
        <f>Senlis_PLtraf!AL7*100</f>
        <v>5.8304098734190548</v>
      </c>
      <c r="F12" s="119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91.078754988469029</v>
      </c>
      <c r="G12" s="120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B(10)</v>
      </c>
      <c r="H12" s="121">
        <f>IF(K12&lt;10,2*K12,IF(K12&lt;25,K12+10,6*K12/5+5))*IF(M$4=0,1,0.8)</f>
        <v>20</v>
      </c>
      <c r="I12" s="122">
        <v>14.1</v>
      </c>
      <c r="J12" s="119">
        <f>IF(I12&lt;20,I12*IF(M$4=0,1,1.25)/2,(I12*IF(M$4=0,1,1.25)-10))</f>
        <v>7.05</v>
      </c>
      <c r="K12" s="121">
        <f>IF(OR(J12&lt;=5,J12&gt;7),ROUNDUP((J12/5),0)*5,7)</f>
        <v>10</v>
      </c>
      <c r="L12" s="119">
        <f>100*(1-TDIST((I12/E12-D12/E12)-TINV(0.05,B12-1)/SQRT(B12),B12-1,1)-TDIST((I12/E12+D12/E12)-TINV(0.05,B12-1)/SQRT(B12),B12-1,1))</f>
        <v>94.037280961606413</v>
      </c>
      <c r="M12" s="119">
        <f t="shared" si="0"/>
        <v>99.418564293318795</v>
      </c>
      <c r="N12" s="125">
        <v>95.904441833496094</v>
      </c>
      <c r="O12" s="129">
        <f>MAX(K9:K12)</f>
        <v>15</v>
      </c>
    </row>
    <row r="13" spans="1:17">
      <c r="A13" s="130" t="s">
        <v>67</v>
      </c>
    </row>
    <row r="14" spans="1:17">
      <c r="A14" s="84" t="s">
        <v>68</v>
      </c>
      <c r="C14" s="131"/>
      <c r="E14" s="132" t="s">
        <v>69</v>
      </c>
      <c r="Q14" s="133"/>
    </row>
    <row r="15" spans="1:17">
      <c r="A15" s="84" t="s">
        <v>70</v>
      </c>
      <c r="E15" s="134" t="s">
        <v>71</v>
      </c>
      <c r="F15" s="135" t="s">
        <v>72</v>
      </c>
    </row>
    <row r="16" spans="1:17">
      <c r="A16" s="84" t="s">
        <v>73</v>
      </c>
      <c r="F16" s="135" t="s">
        <v>74</v>
      </c>
    </row>
    <row r="17" spans="1:6">
      <c r="A17" s="84" t="s">
        <v>75</v>
      </c>
      <c r="E17" s="134" t="s">
        <v>76</v>
      </c>
      <c r="F17" s="135" t="s">
        <v>77</v>
      </c>
    </row>
    <row r="18" spans="1:6" ht="15.75">
      <c r="A18" s="84" t="s">
        <v>78</v>
      </c>
      <c r="E18" s="134" t="s">
        <v>79</v>
      </c>
      <c r="F18" s="135" t="s">
        <v>93</v>
      </c>
    </row>
    <row r="19" spans="1:6">
      <c r="A19" s="84" t="s">
        <v>80</v>
      </c>
      <c r="E19" s="134" t="s">
        <v>81</v>
      </c>
      <c r="F19" s="135" t="s">
        <v>82</v>
      </c>
    </row>
    <row r="20" spans="1:6">
      <c r="A20" s="84" t="s">
        <v>83</v>
      </c>
      <c r="F20" s="135" t="s">
        <v>84</v>
      </c>
    </row>
    <row r="21" spans="1:6">
      <c r="F21" s="87" t="s">
        <v>85</v>
      </c>
    </row>
    <row r="22" spans="1:6" ht="14.25">
      <c r="F22" s="87" t="s">
        <v>94</v>
      </c>
    </row>
    <row r="41" spans="1:1">
      <c r="A41" s="136" t="s">
        <v>86</v>
      </c>
    </row>
    <row r="42" spans="1:1">
      <c r="A42" s="137" t="s">
        <v>95</v>
      </c>
    </row>
    <row r="43" spans="1:1">
      <c r="A43" s="137" t="s">
        <v>96</v>
      </c>
    </row>
    <row r="44" spans="1:1">
      <c r="A44" s="137" t="s">
        <v>97</v>
      </c>
    </row>
    <row r="45" spans="1:1">
      <c r="A45" s="138" t="s">
        <v>98</v>
      </c>
    </row>
    <row r="46" spans="1:1">
      <c r="A46" s="139" t="s">
        <v>99</v>
      </c>
    </row>
    <row r="47" spans="1:1">
      <c r="A47" s="139" t="s">
        <v>100</v>
      </c>
    </row>
    <row r="48" spans="1:1">
      <c r="A48" s="140"/>
    </row>
    <row r="49" spans="1:1">
      <c r="A49" s="140"/>
    </row>
    <row r="50" spans="1:1">
      <c r="A50" s="140"/>
    </row>
    <row r="51" spans="1:1">
      <c r="A51" s="140"/>
    </row>
    <row r="52" spans="1:1">
      <c r="A52" s="140"/>
    </row>
    <row r="53" spans="1:1">
      <c r="A53" s="140"/>
    </row>
    <row r="54" spans="1:1">
      <c r="A54" s="140"/>
    </row>
  </sheetData>
  <mergeCells count="1">
    <mergeCell ref="O7:O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Senlis_PLtraf</vt:lpstr>
      <vt:lpstr>Senlis_PLcalibration</vt:lpstr>
      <vt:lpstr>Accuracy_trafic</vt:lpstr>
      <vt:lpstr>Accuracy_calibration</vt:lpstr>
      <vt:lpstr>Repartition des erreurs</vt:lpstr>
      <vt:lpstr>Precision_trafic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SCHMIDT Franziska</dc:creator>
  <cp:lastModifiedBy>Franziska Schmidt</cp:lastModifiedBy>
  <cp:lastPrinted>2009-08-05T06:30:54Z</cp:lastPrinted>
  <dcterms:created xsi:type="dcterms:W3CDTF">2008-07-22T08:10:24Z</dcterms:created>
  <dcterms:modified xsi:type="dcterms:W3CDTF">2017-01-23T08:22:10Z</dcterms:modified>
</cp:coreProperties>
</file>